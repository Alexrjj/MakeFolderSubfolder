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ocuments\Projetos Trabalho\MakeFolderSubfolder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Materiais_COMPEL" sheetId="5" state="hidden" r:id="rId3"/>
    <sheet name="Status" sheetId="3" state="hidden" r:id="rId4"/>
    <sheet name="Centros_SAP" sheetId="4" state="hidden" r:id="rId5"/>
  </sheets>
  <externalReferences>
    <externalReference r:id="rId6"/>
  </externalReferences>
  <definedNames>
    <definedName name="_xlnm._FilterDatabase" localSheetId="4" hidden="1">Centros_SAP!$A$1:$F$39</definedName>
    <definedName name="_xlnm._FilterDatabase" localSheetId="0" hidden="1">Ficha_Solicitação_Material!$A$9:$T$9</definedName>
    <definedName name="Centros_SAP" localSheetId="2">[1]Centros_SAP!$B$2:$B$39</definedName>
    <definedName name="Centros_SAP">Centros_SAP!$B$2:$B$39</definedName>
    <definedName name="Status" localSheetId="2">[1]Status!$A$2:$A$14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10" i="1"/>
  <c r="K500" i="1" l="1"/>
  <c r="G500" i="1"/>
  <c r="F500" i="1"/>
  <c r="E500" i="1"/>
  <c r="C500" i="1"/>
  <c r="B500" i="1"/>
  <c r="K499" i="1"/>
  <c r="G499" i="1"/>
  <c r="F499" i="1"/>
  <c r="E499" i="1"/>
  <c r="C499" i="1"/>
  <c r="B499" i="1"/>
  <c r="K498" i="1"/>
  <c r="G498" i="1"/>
  <c r="F498" i="1"/>
  <c r="E498" i="1"/>
  <c r="C498" i="1"/>
  <c r="B498" i="1"/>
  <c r="K497" i="1"/>
  <c r="G497" i="1"/>
  <c r="F497" i="1"/>
  <c r="E497" i="1"/>
  <c r="C497" i="1"/>
  <c r="B497" i="1"/>
  <c r="K496" i="1"/>
  <c r="G496" i="1"/>
  <c r="F496" i="1"/>
  <c r="E496" i="1"/>
  <c r="C496" i="1"/>
  <c r="B496" i="1"/>
  <c r="K495" i="1"/>
  <c r="G495" i="1"/>
  <c r="F495" i="1"/>
  <c r="E495" i="1"/>
  <c r="C495" i="1"/>
  <c r="B495" i="1"/>
  <c r="K494" i="1"/>
  <c r="G494" i="1"/>
  <c r="F494" i="1"/>
  <c r="E494" i="1"/>
  <c r="C494" i="1"/>
  <c r="B494" i="1"/>
  <c r="K493" i="1"/>
  <c r="G493" i="1"/>
  <c r="F493" i="1"/>
  <c r="E493" i="1"/>
  <c r="C493" i="1"/>
  <c r="B493" i="1"/>
  <c r="K492" i="1"/>
  <c r="G492" i="1"/>
  <c r="F492" i="1"/>
  <c r="E492" i="1"/>
  <c r="C492" i="1"/>
  <c r="B492" i="1"/>
  <c r="K491" i="1"/>
  <c r="G491" i="1"/>
  <c r="F491" i="1"/>
  <c r="E491" i="1"/>
  <c r="C491" i="1"/>
  <c r="B491" i="1"/>
  <c r="K490" i="1"/>
  <c r="G490" i="1"/>
  <c r="F490" i="1"/>
  <c r="E490" i="1"/>
  <c r="C490" i="1"/>
  <c r="B490" i="1"/>
  <c r="K489" i="1"/>
  <c r="G489" i="1"/>
  <c r="F489" i="1"/>
  <c r="E489" i="1"/>
  <c r="C489" i="1"/>
  <c r="B489" i="1"/>
  <c r="K488" i="1"/>
  <c r="G488" i="1"/>
  <c r="F488" i="1"/>
  <c r="E488" i="1"/>
  <c r="C488" i="1"/>
  <c r="B488" i="1"/>
  <c r="K487" i="1"/>
  <c r="G487" i="1"/>
  <c r="F487" i="1"/>
  <c r="E487" i="1"/>
  <c r="C487" i="1"/>
  <c r="B487" i="1"/>
  <c r="K486" i="1"/>
  <c r="G486" i="1"/>
  <c r="F486" i="1"/>
  <c r="E486" i="1"/>
  <c r="C486" i="1"/>
  <c r="B486" i="1"/>
  <c r="K485" i="1"/>
  <c r="G485" i="1"/>
  <c r="F485" i="1"/>
  <c r="E485" i="1"/>
  <c r="C485" i="1"/>
  <c r="B485" i="1"/>
  <c r="K484" i="1"/>
  <c r="G484" i="1"/>
  <c r="F484" i="1"/>
  <c r="E484" i="1"/>
  <c r="C484" i="1"/>
  <c r="B484" i="1"/>
  <c r="K483" i="1"/>
  <c r="G483" i="1"/>
  <c r="F483" i="1"/>
  <c r="E483" i="1"/>
  <c r="C483" i="1"/>
  <c r="B483" i="1"/>
  <c r="K482" i="1"/>
  <c r="G482" i="1"/>
  <c r="F482" i="1"/>
  <c r="E482" i="1"/>
  <c r="C482" i="1"/>
  <c r="B482" i="1"/>
  <c r="K481" i="1"/>
  <c r="G481" i="1"/>
  <c r="F481" i="1"/>
  <c r="E481" i="1"/>
  <c r="C481" i="1"/>
  <c r="B481" i="1"/>
  <c r="K480" i="1"/>
  <c r="G480" i="1"/>
  <c r="F480" i="1"/>
  <c r="E480" i="1"/>
  <c r="C480" i="1"/>
  <c r="B480" i="1"/>
  <c r="K479" i="1"/>
  <c r="G479" i="1"/>
  <c r="F479" i="1"/>
  <c r="E479" i="1"/>
  <c r="C479" i="1"/>
  <c r="B479" i="1"/>
  <c r="K478" i="1"/>
  <c r="G478" i="1"/>
  <c r="F478" i="1"/>
  <c r="E478" i="1"/>
  <c r="C478" i="1"/>
  <c r="B478" i="1"/>
  <c r="K477" i="1"/>
  <c r="G477" i="1"/>
  <c r="F477" i="1"/>
  <c r="E477" i="1"/>
  <c r="C477" i="1"/>
  <c r="B477" i="1"/>
  <c r="K476" i="1"/>
  <c r="G476" i="1"/>
  <c r="F476" i="1"/>
  <c r="E476" i="1"/>
  <c r="C476" i="1"/>
  <c r="B476" i="1"/>
  <c r="K475" i="1"/>
  <c r="G475" i="1"/>
  <c r="F475" i="1"/>
  <c r="E475" i="1"/>
  <c r="C475" i="1"/>
  <c r="B475" i="1"/>
  <c r="K474" i="1"/>
  <c r="G474" i="1"/>
  <c r="F474" i="1"/>
  <c r="E474" i="1"/>
  <c r="C474" i="1"/>
  <c r="B474" i="1"/>
  <c r="K473" i="1"/>
  <c r="G473" i="1"/>
  <c r="F473" i="1"/>
  <c r="E473" i="1"/>
  <c r="C473" i="1"/>
  <c r="B473" i="1"/>
  <c r="K472" i="1"/>
  <c r="G472" i="1"/>
  <c r="F472" i="1"/>
  <c r="E472" i="1"/>
  <c r="C472" i="1"/>
  <c r="B472" i="1"/>
  <c r="K471" i="1"/>
  <c r="G471" i="1"/>
  <c r="F471" i="1"/>
  <c r="E471" i="1"/>
  <c r="C471" i="1"/>
  <c r="B471" i="1"/>
  <c r="K470" i="1"/>
  <c r="G470" i="1"/>
  <c r="F470" i="1"/>
  <c r="E470" i="1"/>
  <c r="C470" i="1"/>
  <c r="B470" i="1"/>
  <c r="K469" i="1"/>
  <c r="G469" i="1"/>
  <c r="F469" i="1"/>
  <c r="E469" i="1"/>
  <c r="C469" i="1"/>
  <c r="B469" i="1"/>
  <c r="K468" i="1"/>
  <c r="G468" i="1"/>
  <c r="F468" i="1"/>
  <c r="E468" i="1"/>
  <c r="C468" i="1"/>
  <c r="B468" i="1"/>
  <c r="K467" i="1"/>
  <c r="G467" i="1"/>
  <c r="F467" i="1"/>
  <c r="E467" i="1"/>
  <c r="C467" i="1"/>
  <c r="B467" i="1"/>
  <c r="K466" i="1"/>
  <c r="G466" i="1"/>
  <c r="F466" i="1"/>
  <c r="E466" i="1"/>
  <c r="C466" i="1"/>
  <c r="B466" i="1"/>
  <c r="K465" i="1"/>
  <c r="G465" i="1"/>
  <c r="F465" i="1"/>
  <c r="E465" i="1"/>
  <c r="C465" i="1"/>
  <c r="B465" i="1"/>
  <c r="K464" i="1"/>
  <c r="G464" i="1"/>
  <c r="F464" i="1"/>
  <c r="E464" i="1"/>
  <c r="C464" i="1"/>
  <c r="B464" i="1"/>
  <c r="K463" i="1"/>
  <c r="G463" i="1"/>
  <c r="F463" i="1"/>
  <c r="E463" i="1"/>
  <c r="C463" i="1"/>
  <c r="B463" i="1"/>
  <c r="K462" i="1"/>
  <c r="G462" i="1"/>
  <c r="F462" i="1"/>
  <c r="E462" i="1"/>
  <c r="C462" i="1"/>
  <c r="B462" i="1"/>
  <c r="K461" i="1"/>
  <c r="G461" i="1"/>
  <c r="F461" i="1"/>
  <c r="E461" i="1"/>
  <c r="C461" i="1"/>
  <c r="B461" i="1"/>
  <c r="K460" i="1"/>
  <c r="G460" i="1"/>
  <c r="F460" i="1"/>
  <c r="E460" i="1"/>
  <c r="C460" i="1"/>
  <c r="B460" i="1"/>
  <c r="K459" i="1"/>
  <c r="G459" i="1"/>
  <c r="F459" i="1"/>
  <c r="E459" i="1"/>
  <c r="C459" i="1"/>
  <c r="B459" i="1"/>
  <c r="K458" i="1"/>
  <c r="G458" i="1"/>
  <c r="F458" i="1"/>
  <c r="E458" i="1"/>
  <c r="C458" i="1"/>
  <c r="B458" i="1"/>
  <c r="K457" i="1"/>
  <c r="G457" i="1"/>
  <c r="F457" i="1"/>
  <c r="E457" i="1"/>
  <c r="C457" i="1"/>
  <c r="B457" i="1"/>
  <c r="K456" i="1"/>
  <c r="G456" i="1"/>
  <c r="F456" i="1"/>
  <c r="E456" i="1"/>
  <c r="C456" i="1"/>
  <c r="B456" i="1"/>
  <c r="K455" i="1"/>
  <c r="G455" i="1"/>
  <c r="F455" i="1"/>
  <c r="E455" i="1"/>
  <c r="C455" i="1"/>
  <c r="B455" i="1"/>
  <c r="K454" i="1"/>
  <c r="G454" i="1"/>
  <c r="F454" i="1"/>
  <c r="E454" i="1"/>
  <c r="C454" i="1"/>
  <c r="B454" i="1"/>
  <c r="K453" i="1"/>
  <c r="G453" i="1"/>
  <c r="F453" i="1"/>
  <c r="E453" i="1"/>
  <c r="C453" i="1"/>
  <c r="B453" i="1"/>
  <c r="K452" i="1"/>
  <c r="G452" i="1"/>
  <c r="F452" i="1"/>
  <c r="E452" i="1"/>
  <c r="C452" i="1"/>
  <c r="B452" i="1"/>
  <c r="K451" i="1"/>
  <c r="G451" i="1"/>
  <c r="F451" i="1"/>
  <c r="E451" i="1"/>
  <c r="C451" i="1"/>
  <c r="B451" i="1"/>
  <c r="K450" i="1"/>
  <c r="G450" i="1"/>
  <c r="F450" i="1"/>
  <c r="E450" i="1"/>
  <c r="C450" i="1"/>
  <c r="B450" i="1"/>
  <c r="K449" i="1"/>
  <c r="G449" i="1"/>
  <c r="F449" i="1"/>
  <c r="E449" i="1"/>
  <c r="C449" i="1"/>
  <c r="B449" i="1"/>
  <c r="K448" i="1"/>
  <c r="G448" i="1"/>
  <c r="F448" i="1"/>
  <c r="E448" i="1"/>
  <c r="C448" i="1"/>
  <c r="B448" i="1"/>
  <c r="K447" i="1"/>
  <c r="G447" i="1"/>
  <c r="F447" i="1"/>
  <c r="E447" i="1"/>
  <c r="C447" i="1"/>
  <c r="B447" i="1"/>
  <c r="K446" i="1"/>
  <c r="G446" i="1"/>
  <c r="F446" i="1"/>
  <c r="E446" i="1"/>
  <c r="C446" i="1"/>
  <c r="B446" i="1"/>
  <c r="K445" i="1"/>
  <c r="G445" i="1"/>
  <c r="F445" i="1"/>
  <c r="E445" i="1"/>
  <c r="C445" i="1"/>
  <c r="B445" i="1"/>
  <c r="K444" i="1"/>
  <c r="G444" i="1"/>
  <c r="F444" i="1"/>
  <c r="E444" i="1"/>
  <c r="C444" i="1"/>
  <c r="B444" i="1"/>
  <c r="K443" i="1"/>
  <c r="G443" i="1"/>
  <c r="F443" i="1"/>
  <c r="E443" i="1"/>
  <c r="C443" i="1"/>
  <c r="B443" i="1"/>
  <c r="K442" i="1"/>
  <c r="G442" i="1"/>
  <c r="F442" i="1"/>
  <c r="E442" i="1"/>
  <c r="C442" i="1"/>
  <c r="B442" i="1"/>
  <c r="K441" i="1"/>
  <c r="G441" i="1"/>
  <c r="F441" i="1"/>
  <c r="E441" i="1"/>
  <c r="C441" i="1"/>
  <c r="B441" i="1"/>
  <c r="K440" i="1"/>
  <c r="G440" i="1"/>
  <c r="F440" i="1"/>
  <c r="E440" i="1"/>
  <c r="C440" i="1"/>
  <c r="B440" i="1"/>
  <c r="K439" i="1"/>
  <c r="G439" i="1"/>
  <c r="F439" i="1"/>
  <c r="E439" i="1"/>
  <c r="C439" i="1"/>
  <c r="B439" i="1"/>
  <c r="K438" i="1"/>
  <c r="G438" i="1"/>
  <c r="F438" i="1"/>
  <c r="E438" i="1"/>
  <c r="C438" i="1"/>
  <c r="B438" i="1"/>
  <c r="K437" i="1"/>
  <c r="G437" i="1"/>
  <c r="F437" i="1"/>
  <c r="E437" i="1"/>
  <c r="C437" i="1"/>
  <c r="B437" i="1"/>
  <c r="K436" i="1"/>
  <c r="G436" i="1"/>
  <c r="F436" i="1"/>
  <c r="E436" i="1"/>
  <c r="C436" i="1"/>
  <c r="B436" i="1"/>
  <c r="K435" i="1"/>
  <c r="G435" i="1"/>
  <c r="F435" i="1"/>
  <c r="E435" i="1"/>
  <c r="C435" i="1"/>
  <c r="B435" i="1"/>
  <c r="K434" i="1"/>
  <c r="G434" i="1"/>
  <c r="F434" i="1"/>
  <c r="E434" i="1"/>
  <c r="C434" i="1"/>
  <c r="B434" i="1"/>
  <c r="K433" i="1"/>
  <c r="G433" i="1"/>
  <c r="F433" i="1"/>
  <c r="E433" i="1"/>
  <c r="C433" i="1"/>
  <c r="B433" i="1"/>
  <c r="K432" i="1"/>
  <c r="G432" i="1"/>
  <c r="F432" i="1"/>
  <c r="E432" i="1"/>
  <c r="C432" i="1"/>
  <c r="B432" i="1"/>
  <c r="K431" i="1"/>
  <c r="G431" i="1"/>
  <c r="F431" i="1"/>
  <c r="E431" i="1"/>
  <c r="C431" i="1"/>
  <c r="B431" i="1"/>
  <c r="K430" i="1"/>
  <c r="G430" i="1"/>
  <c r="F430" i="1"/>
  <c r="E430" i="1"/>
  <c r="C430" i="1"/>
  <c r="B430" i="1"/>
  <c r="K429" i="1"/>
  <c r="G429" i="1"/>
  <c r="F429" i="1"/>
  <c r="E429" i="1"/>
  <c r="C429" i="1"/>
  <c r="B429" i="1"/>
  <c r="K428" i="1"/>
  <c r="G428" i="1"/>
  <c r="F428" i="1"/>
  <c r="E428" i="1"/>
  <c r="C428" i="1"/>
  <c r="B428" i="1"/>
  <c r="K427" i="1"/>
  <c r="G427" i="1"/>
  <c r="F427" i="1"/>
  <c r="E427" i="1"/>
  <c r="C427" i="1"/>
  <c r="B427" i="1"/>
  <c r="K426" i="1"/>
  <c r="G426" i="1"/>
  <c r="F426" i="1"/>
  <c r="E426" i="1"/>
  <c r="C426" i="1"/>
  <c r="B426" i="1"/>
  <c r="K425" i="1"/>
  <c r="G425" i="1"/>
  <c r="F425" i="1"/>
  <c r="E425" i="1"/>
  <c r="C425" i="1"/>
  <c r="B425" i="1"/>
  <c r="K424" i="1"/>
  <c r="G424" i="1"/>
  <c r="F424" i="1"/>
  <c r="E424" i="1"/>
  <c r="C424" i="1"/>
  <c r="B424" i="1"/>
  <c r="K423" i="1"/>
  <c r="G423" i="1"/>
  <c r="F423" i="1"/>
  <c r="E423" i="1"/>
  <c r="C423" i="1"/>
  <c r="B423" i="1"/>
  <c r="K422" i="1"/>
  <c r="G422" i="1"/>
  <c r="F422" i="1"/>
  <c r="E422" i="1"/>
  <c r="C422" i="1"/>
  <c r="B422" i="1"/>
  <c r="K421" i="1"/>
  <c r="G421" i="1"/>
  <c r="F421" i="1"/>
  <c r="E421" i="1"/>
  <c r="C421" i="1"/>
  <c r="B421" i="1"/>
  <c r="K420" i="1"/>
  <c r="G420" i="1"/>
  <c r="F420" i="1"/>
  <c r="E420" i="1"/>
  <c r="C420" i="1"/>
  <c r="B420" i="1"/>
  <c r="K419" i="1"/>
  <c r="G419" i="1"/>
  <c r="F419" i="1"/>
  <c r="E419" i="1"/>
  <c r="C419" i="1"/>
  <c r="B419" i="1"/>
  <c r="K418" i="1"/>
  <c r="G418" i="1"/>
  <c r="F418" i="1"/>
  <c r="E418" i="1"/>
  <c r="C418" i="1"/>
  <c r="B418" i="1"/>
  <c r="K417" i="1"/>
  <c r="G417" i="1"/>
  <c r="F417" i="1"/>
  <c r="E417" i="1"/>
  <c r="C417" i="1"/>
  <c r="B417" i="1"/>
  <c r="K416" i="1"/>
  <c r="G416" i="1"/>
  <c r="F416" i="1"/>
  <c r="E416" i="1"/>
  <c r="C416" i="1"/>
  <c r="B416" i="1"/>
  <c r="K415" i="1"/>
  <c r="G415" i="1"/>
  <c r="F415" i="1"/>
  <c r="E415" i="1"/>
  <c r="C415" i="1"/>
  <c r="B415" i="1"/>
  <c r="K414" i="1"/>
  <c r="G414" i="1"/>
  <c r="F414" i="1"/>
  <c r="E414" i="1"/>
  <c r="C414" i="1"/>
  <c r="B414" i="1"/>
  <c r="K413" i="1"/>
  <c r="G413" i="1"/>
  <c r="F413" i="1"/>
  <c r="E413" i="1"/>
  <c r="C413" i="1"/>
  <c r="B413" i="1"/>
  <c r="K412" i="1"/>
  <c r="G412" i="1"/>
  <c r="F412" i="1"/>
  <c r="E412" i="1"/>
  <c r="C412" i="1"/>
  <c r="B412" i="1"/>
  <c r="K411" i="1"/>
  <c r="G411" i="1"/>
  <c r="F411" i="1"/>
  <c r="E411" i="1"/>
  <c r="C411" i="1"/>
  <c r="B411" i="1"/>
  <c r="K410" i="1"/>
  <c r="G410" i="1"/>
  <c r="F410" i="1"/>
  <c r="E410" i="1"/>
  <c r="C410" i="1"/>
  <c r="B410" i="1"/>
  <c r="K409" i="1"/>
  <c r="G409" i="1"/>
  <c r="F409" i="1"/>
  <c r="E409" i="1"/>
  <c r="C409" i="1"/>
  <c r="B409" i="1"/>
  <c r="K408" i="1"/>
  <c r="G408" i="1"/>
  <c r="F408" i="1"/>
  <c r="E408" i="1"/>
  <c r="C408" i="1"/>
  <c r="B408" i="1"/>
  <c r="K407" i="1"/>
  <c r="G407" i="1"/>
  <c r="F407" i="1"/>
  <c r="E407" i="1"/>
  <c r="C407" i="1"/>
  <c r="B407" i="1"/>
  <c r="K406" i="1"/>
  <c r="G406" i="1"/>
  <c r="F406" i="1"/>
  <c r="E406" i="1"/>
  <c r="C406" i="1"/>
  <c r="B406" i="1"/>
  <c r="K405" i="1"/>
  <c r="G405" i="1"/>
  <c r="F405" i="1"/>
  <c r="E405" i="1"/>
  <c r="C405" i="1"/>
  <c r="B405" i="1"/>
  <c r="K404" i="1"/>
  <c r="G404" i="1"/>
  <c r="F404" i="1"/>
  <c r="E404" i="1"/>
  <c r="C404" i="1"/>
  <c r="B404" i="1"/>
  <c r="K403" i="1"/>
  <c r="G403" i="1"/>
  <c r="F403" i="1"/>
  <c r="E403" i="1"/>
  <c r="C403" i="1"/>
  <c r="B403" i="1"/>
  <c r="K402" i="1"/>
  <c r="G402" i="1"/>
  <c r="F402" i="1"/>
  <c r="E402" i="1"/>
  <c r="C402" i="1"/>
  <c r="B402" i="1"/>
  <c r="K401" i="1"/>
  <c r="G401" i="1"/>
  <c r="F401" i="1"/>
  <c r="E401" i="1"/>
  <c r="C401" i="1"/>
  <c r="B401" i="1"/>
  <c r="K400" i="1"/>
  <c r="G400" i="1"/>
  <c r="F400" i="1"/>
  <c r="E400" i="1"/>
  <c r="C400" i="1"/>
  <c r="B400" i="1"/>
  <c r="K399" i="1"/>
  <c r="G399" i="1"/>
  <c r="F399" i="1"/>
  <c r="E399" i="1"/>
  <c r="C399" i="1"/>
  <c r="B399" i="1"/>
  <c r="K398" i="1"/>
  <c r="G398" i="1"/>
  <c r="F398" i="1"/>
  <c r="E398" i="1"/>
  <c r="C398" i="1"/>
  <c r="B398" i="1"/>
  <c r="K397" i="1"/>
  <c r="G397" i="1"/>
  <c r="F397" i="1"/>
  <c r="E397" i="1"/>
  <c r="C397" i="1"/>
  <c r="B397" i="1"/>
  <c r="K396" i="1"/>
  <c r="G396" i="1"/>
  <c r="F396" i="1"/>
  <c r="E396" i="1"/>
  <c r="C396" i="1"/>
  <c r="B396" i="1"/>
  <c r="K395" i="1"/>
  <c r="G395" i="1"/>
  <c r="F395" i="1"/>
  <c r="E395" i="1"/>
  <c r="C395" i="1"/>
  <c r="B395" i="1"/>
  <c r="K394" i="1"/>
  <c r="G394" i="1"/>
  <c r="F394" i="1"/>
  <c r="E394" i="1"/>
  <c r="C394" i="1"/>
  <c r="B394" i="1"/>
  <c r="K393" i="1"/>
  <c r="G393" i="1"/>
  <c r="F393" i="1"/>
  <c r="E393" i="1"/>
  <c r="C393" i="1"/>
  <c r="B393" i="1"/>
  <c r="K392" i="1"/>
  <c r="G392" i="1"/>
  <c r="F392" i="1"/>
  <c r="E392" i="1"/>
  <c r="C392" i="1"/>
  <c r="B392" i="1"/>
  <c r="K391" i="1"/>
  <c r="G391" i="1"/>
  <c r="F391" i="1"/>
  <c r="E391" i="1"/>
  <c r="C391" i="1"/>
  <c r="B391" i="1"/>
  <c r="K390" i="1"/>
  <c r="G390" i="1"/>
  <c r="F390" i="1"/>
  <c r="E390" i="1"/>
  <c r="C390" i="1"/>
  <c r="B390" i="1"/>
  <c r="K389" i="1"/>
  <c r="G389" i="1"/>
  <c r="F389" i="1"/>
  <c r="E389" i="1"/>
  <c r="C389" i="1"/>
  <c r="B389" i="1"/>
  <c r="K388" i="1"/>
  <c r="G388" i="1"/>
  <c r="F388" i="1"/>
  <c r="E388" i="1"/>
  <c r="C388" i="1"/>
  <c r="B388" i="1"/>
  <c r="K387" i="1"/>
  <c r="G387" i="1"/>
  <c r="F387" i="1"/>
  <c r="E387" i="1"/>
  <c r="C387" i="1"/>
  <c r="B387" i="1"/>
  <c r="K386" i="1"/>
  <c r="G386" i="1"/>
  <c r="F386" i="1"/>
  <c r="E386" i="1"/>
  <c r="C386" i="1"/>
  <c r="B386" i="1"/>
  <c r="K385" i="1"/>
  <c r="G385" i="1"/>
  <c r="F385" i="1"/>
  <c r="E385" i="1"/>
  <c r="C385" i="1"/>
  <c r="B385" i="1"/>
  <c r="K384" i="1"/>
  <c r="G384" i="1"/>
  <c r="F384" i="1"/>
  <c r="E384" i="1"/>
  <c r="C384" i="1"/>
  <c r="B384" i="1"/>
  <c r="K383" i="1"/>
  <c r="G383" i="1"/>
  <c r="F383" i="1"/>
  <c r="E383" i="1"/>
  <c r="C383" i="1"/>
  <c r="B383" i="1"/>
  <c r="K382" i="1"/>
  <c r="G382" i="1"/>
  <c r="F382" i="1"/>
  <c r="E382" i="1"/>
  <c r="C382" i="1"/>
  <c r="B382" i="1"/>
  <c r="K381" i="1"/>
  <c r="G381" i="1"/>
  <c r="F381" i="1"/>
  <c r="E381" i="1"/>
  <c r="C381" i="1"/>
  <c r="B381" i="1"/>
  <c r="K380" i="1"/>
  <c r="G380" i="1"/>
  <c r="F380" i="1"/>
  <c r="E380" i="1"/>
  <c r="C380" i="1"/>
  <c r="B380" i="1"/>
  <c r="K379" i="1"/>
  <c r="G379" i="1"/>
  <c r="F379" i="1"/>
  <c r="E379" i="1"/>
  <c r="C379" i="1"/>
  <c r="B379" i="1"/>
  <c r="K378" i="1"/>
  <c r="G378" i="1"/>
  <c r="F378" i="1"/>
  <c r="E378" i="1"/>
  <c r="C378" i="1"/>
  <c r="B378" i="1"/>
  <c r="K377" i="1"/>
  <c r="G377" i="1"/>
  <c r="F377" i="1"/>
  <c r="E377" i="1"/>
  <c r="C377" i="1"/>
  <c r="B377" i="1"/>
  <c r="K376" i="1"/>
  <c r="G376" i="1"/>
  <c r="F376" i="1"/>
  <c r="E376" i="1"/>
  <c r="C376" i="1"/>
  <c r="B376" i="1"/>
  <c r="K375" i="1"/>
  <c r="G375" i="1"/>
  <c r="F375" i="1"/>
  <c r="E375" i="1"/>
  <c r="C375" i="1"/>
  <c r="B375" i="1"/>
  <c r="K374" i="1"/>
  <c r="G374" i="1"/>
  <c r="F374" i="1"/>
  <c r="E374" i="1"/>
  <c r="C374" i="1"/>
  <c r="B374" i="1"/>
  <c r="K373" i="1"/>
  <c r="G373" i="1"/>
  <c r="F373" i="1"/>
  <c r="E373" i="1"/>
  <c r="C373" i="1"/>
  <c r="B373" i="1"/>
  <c r="K372" i="1"/>
  <c r="G372" i="1"/>
  <c r="F372" i="1"/>
  <c r="E372" i="1"/>
  <c r="C372" i="1"/>
  <c r="B372" i="1"/>
  <c r="K371" i="1"/>
  <c r="G371" i="1"/>
  <c r="F371" i="1"/>
  <c r="E371" i="1"/>
  <c r="C371" i="1"/>
  <c r="B371" i="1"/>
  <c r="K370" i="1"/>
  <c r="G370" i="1"/>
  <c r="F370" i="1"/>
  <c r="E370" i="1"/>
  <c r="C370" i="1"/>
  <c r="B370" i="1"/>
  <c r="K369" i="1"/>
  <c r="G369" i="1"/>
  <c r="F369" i="1"/>
  <c r="E369" i="1"/>
  <c r="C369" i="1"/>
  <c r="B369" i="1"/>
  <c r="K368" i="1"/>
  <c r="G368" i="1"/>
  <c r="F368" i="1"/>
  <c r="E368" i="1"/>
  <c r="C368" i="1"/>
  <c r="B368" i="1"/>
  <c r="K367" i="1"/>
  <c r="G367" i="1"/>
  <c r="F367" i="1"/>
  <c r="E367" i="1"/>
  <c r="C367" i="1"/>
  <c r="B367" i="1"/>
  <c r="K366" i="1"/>
  <c r="G366" i="1"/>
  <c r="F366" i="1"/>
  <c r="E366" i="1"/>
  <c r="C366" i="1"/>
  <c r="B366" i="1"/>
  <c r="K365" i="1"/>
  <c r="G365" i="1"/>
  <c r="F365" i="1"/>
  <c r="E365" i="1"/>
  <c r="C365" i="1"/>
  <c r="B365" i="1"/>
  <c r="K364" i="1"/>
  <c r="G364" i="1"/>
  <c r="F364" i="1"/>
  <c r="E364" i="1"/>
  <c r="C364" i="1"/>
  <c r="B364" i="1"/>
  <c r="K363" i="1"/>
  <c r="G363" i="1"/>
  <c r="F363" i="1"/>
  <c r="E363" i="1"/>
  <c r="C363" i="1"/>
  <c r="B363" i="1"/>
  <c r="K362" i="1"/>
  <c r="G362" i="1"/>
  <c r="F362" i="1"/>
  <c r="E362" i="1"/>
  <c r="C362" i="1"/>
  <c r="B362" i="1"/>
  <c r="K361" i="1"/>
  <c r="G361" i="1"/>
  <c r="F361" i="1"/>
  <c r="E361" i="1"/>
  <c r="C361" i="1"/>
  <c r="B361" i="1"/>
  <c r="K360" i="1"/>
  <c r="G360" i="1"/>
  <c r="F360" i="1"/>
  <c r="E360" i="1"/>
  <c r="C360" i="1"/>
  <c r="B360" i="1"/>
  <c r="K359" i="1"/>
  <c r="G359" i="1"/>
  <c r="F359" i="1"/>
  <c r="E359" i="1"/>
  <c r="C359" i="1"/>
  <c r="B359" i="1"/>
  <c r="K358" i="1"/>
  <c r="G358" i="1"/>
  <c r="F358" i="1"/>
  <c r="E358" i="1"/>
  <c r="C358" i="1"/>
  <c r="B358" i="1"/>
  <c r="K357" i="1"/>
  <c r="G357" i="1"/>
  <c r="F357" i="1"/>
  <c r="E357" i="1"/>
  <c r="C357" i="1"/>
  <c r="B357" i="1"/>
  <c r="K356" i="1"/>
  <c r="G356" i="1"/>
  <c r="F356" i="1"/>
  <c r="E356" i="1"/>
  <c r="C356" i="1"/>
  <c r="B356" i="1"/>
  <c r="K355" i="1"/>
  <c r="G355" i="1"/>
  <c r="F355" i="1"/>
  <c r="E355" i="1"/>
  <c r="C355" i="1"/>
  <c r="B355" i="1"/>
  <c r="K354" i="1"/>
  <c r="G354" i="1"/>
  <c r="F354" i="1"/>
  <c r="E354" i="1"/>
  <c r="C354" i="1"/>
  <c r="B354" i="1"/>
  <c r="K353" i="1"/>
  <c r="G353" i="1"/>
  <c r="F353" i="1"/>
  <c r="E353" i="1"/>
  <c r="C353" i="1"/>
  <c r="B353" i="1"/>
  <c r="K352" i="1"/>
  <c r="G352" i="1"/>
  <c r="F352" i="1"/>
  <c r="E352" i="1"/>
  <c r="C352" i="1"/>
  <c r="B352" i="1"/>
  <c r="K351" i="1"/>
  <c r="G351" i="1"/>
  <c r="F351" i="1"/>
  <c r="E351" i="1"/>
  <c r="C351" i="1"/>
  <c r="B351" i="1"/>
  <c r="K350" i="1"/>
  <c r="G350" i="1"/>
  <c r="F350" i="1"/>
  <c r="E350" i="1"/>
  <c r="C350" i="1"/>
  <c r="B350" i="1"/>
  <c r="K349" i="1"/>
  <c r="G349" i="1"/>
  <c r="F349" i="1"/>
  <c r="E349" i="1"/>
  <c r="C349" i="1"/>
  <c r="B349" i="1"/>
  <c r="K348" i="1"/>
  <c r="G348" i="1"/>
  <c r="F348" i="1"/>
  <c r="E348" i="1"/>
  <c r="C348" i="1"/>
  <c r="B348" i="1"/>
  <c r="K347" i="1"/>
  <c r="G347" i="1"/>
  <c r="F347" i="1"/>
  <c r="E347" i="1"/>
  <c r="C347" i="1"/>
  <c r="B347" i="1"/>
  <c r="K346" i="1"/>
  <c r="G346" i="1"/>
  <c r="F346" i="1"/>
  <c r="E346" i="1"/>
  <c r="C346" i="1"/>
  <c r="B346" i="1"/>
  <c r="K345" i="1"/>
  <c r="G345" i="1"/>
  <c r="F345" i="1"/>
  <c r="E345" i="1"/>
  <c r="C345" i="1"/>
  <c r="B345" i="1"/>
  <c r="K344" i="1"/>
  <c r="G344" i="1"/>
  <c r="F344" i="1"/>
  <c r="E344" i="1"/>
  <c r="C344" i="1"/>
  <c r="B344" i="1"/>
  <c r="K343" i="1"/>
  <c r="G343" i="1"/>
  <c r="F343" i="1"/>
  <c r="E343" i="1"/>
  <c r="C343" i="1"/>
  <c r="B343" i="1"/>
  <c r="K342" i="1"/>
  <c r="G342" i="1"/>
  <c r="F342" i="1"/>
  <c r="E342" i="1"/>
  <c r="C342" i="1"/>
  <c r="B342" i="1"/>
  <c r="K341" i="1"/>
  <c r="G341" i="1"/>
  <c r="F341" i="1"/>
  <c r="E341" i="1"/>
  <c r="C341" i="1"/>
  <c r="B341" i="1"/>
  <c r="K340" i="1"/>
  <c r="G340" i="1"/>
  <c r="F340" i="1"/>
  <c r="E340" i="1"/>
  <c r="C340" i="1"/>
  <c r="B340" i="1"/>
  <c r="K339" i="1"/>
  <c r="G339" i="1"/>
  <c r="F339" i="1"/>
  <c r="E339" i="1"/>
  <c r="C339" i="1"/>
  <c r="B339" i="1"/>
  <c r="K338" i="1"/>
  <c r="G338" i="1"/>
  <c r="F338" i="1"/>
  <c r="E338" i="1"/>
  <c r="C338" i="1"/>
  <c r="B338" i="1"/>
  <c r="K337" i="1"/>
  <c r="G337" i="1"/>
  <c r="F337" i="1"/>
  <c r="E337" i="1"/>
  <c r="C337" i="1"/>
  <c r="B337" i="1"/>
  <c r="K336" i="1"/>
  <c r="G336" i="1"/>
  <c r="F336" i="1"/>
  <c r="E336" i="1"/>
  <c r="C336" i="1"/>
  <c r="B336" i="1"/>
  <c r="K335" i="1"/>
  <c r="G335" i="1"/>
  <c r="F335" i="1"/>
  <c r="E335" i="1"/>
  <c r="C335" i="1"/>
  <c r="B335" i="1"/>
  <c r="K334" i="1"/>
  <c r="G334" i="1"/>
  <c r="F334" i="1"/>
  <c r="E334" i="1"/>
  <c r="C334" i="1"/>
  <c r="B334" i="1"/>
  <c r="K333" i="1"/>
  <c r="G333" i="1"/>
  <c r="F333" i="1"/>
  <c r="E333" i="1"/>
  <c r="C333" i="1"/>
  <c r="B333" i="1"/>
  <c r="K332" i="1"/>
  <c r="G332" i="1"/>
  <c r="F332" i="1"/>
  <c r="E332" i="1"/>
  <c r="C332" i="1"/>
  <c r="B332" i="1"/>
  <c r="K331" i="1"/>
  <c r="G331" i="1"/>
  <c r="F331" i="1"/>
  <c r="E331" i="1"/>
  <c r="C331" i="1"/>
  <c r="B331" i="1"/>
  <c r="K330" i="1"/>
  <c r="G330" i="1"/>
  <c r="F330" i="1"/>
  <c r="E330" i="1"/>
  <c r="C330" i="1"/>
  <c r="B330" i="1"/>
  <c r="K329" i="1"/>
  <c r="G329" i="1"/>
  <c r="F329" i="1"/>
  <c r="E329" i="1"/>
  <c r="C329" i="1"/>
  <c r="B329" i="1"/>
  <c r="K328" i="1"/>
  <c r="G328" i="1"/>
  <c r="F328" i="1"/>
  <c r="E328" i="1"/>
  <c r="C328" i="1"/>
  <c r="B328" i="1"/>
  <c r="K327" i="1"/>
  <c r="G327" i="1"/>
  <c r="F327" i="1"/>
  <c r="E327" i="1"/>
  <c r="C327" i="1"/>
  <c r="B327" i="1"/>
  <c r="K326" i="1"/>
  <c r="G326" i="1"/>
  <c r="F326" i="1"/>
  <c r="E326" i="1"/>
  <c r="C326" i="1"/>
  <c r="B326" i="1"/>
  <c r="K325" i="1"/>
  <c r="G325" i="1"/>
  <c r="F325" i="1"/>
  <c r="E325" i="1"/>
  <c r="C325" i="1"/>
  <c r="B325" i="1"/>
  <c r="K324" i="1"/>
  <c r="G324" i="1"/>
  <c r="F324" i="1"/>
  <c r="E324" i="1"/>
  <c r="C324" i="1"/>
  <c r="B324" i="1"/>
  <c r="K323" i="1"/>
  <c r="G323" i="1"/>
  <c r="F323" i="1"/>
  <c r="E323" i="1"/>
  <c r="C323" i="1"/>
  <c r="B323" i="1"/>
  <c r="K322" i="1"/>
  <c r="G322" i="1"/>
  <c r="F322" i="1"/>
  <c r="E322" i="1"/>
  <c r="C322" i="1"/>
  <c r="B322" i="1"/>
  <c r="K321" i="1"/>
  <c r="G321" i="1"/>
  <c r="F321" i="1"/>
  <c r="E321" i="1"/>
  <c r="C321" i="1"/>
  <c r="B321" i="1"/>
  <c r="K320" i="1"/>
  <c r="G320" i="1"/>
  <c r="F320" i="1"/>
  <c r="E320" i="1"/>
  <c r="C320" i="1"/>
  <c r="B320" i="1"/>
  <c r="K319" i="1"/>
  <c r="G319" i="1"/>
  <c r="F319" i="1"/>
  <c r="E319" i="1"/>
  <c r="C319" i="1"/>
  <c r="B319" i="1"/>
  <c r="K318" i="1"/>
  <c r="G318" i="1"/>
  <c r="F318" i="1"/>
  <c r="E318" i="1"/>
  <c r="C318" i="1"/>
  <c r="B318" i="1"/>
  <c r="K317" i="1"/>
  <c r="G317" i="1"/>
  <c r="F317" i="1"/>
  <c r="E317" i="1"/>
  <c r="C317" i="1"/>
  <c r="B317" i="1"/>
  <c r="K316" i="1"/>
  <c r="G316" i="1"/>
  <c r="F316" i="1"/>
  <c r="E316" i="1"/>
  <c r="C316" i="1"/>
  <c r="B316" i="1"/>
  <c r="K315" i="1"/>
  <c r="G315" i="1"/>
  <c r="F315" i="1"/>
  <c r="E315" i="1"/>
  <c r="C315" i="1"/>
  <c r="B315" i="1"/>
  <c r="K314" i="1"/>
  <c r="G314" i="1"/>
  <c r="F314" i="1"/>
  <c r="E314" i="1"/>
  <c r="C314" i="1"/>
  <c r="B314" i="1"/>
  <c r="K313" i="1"/>
  <c r="G313" i="1"/>
  <c r="F313" i="1"/>
  <c r="E313" i="1"/>
  <c r="C313" i="1"/>
  <c r="B313" i="1"/>
  <c r="K312" i="1"/>
  <c r="G312" i="1"/>
  <c r="F312" i="1"/>
  <c r="E312" i="1"/>
  <c r="C312" i="1"/>
  <c r="B312" i="1"/>
  <c r="K311" i="1"/>
  <c r="G311" i="1"/>
  <c r="F311" i="1"/>
  <c r="E311" i="1"/>
  <c r="C311" i="1"/>
  <c r="B311" i="1"/>
  <c r="K310" i="1"/>
  <c r="G310" i="1"/>
  <c r="F310" i="1"/>
  <c r="E310" i="1"/>
  <c r="C310" i="1"/>
  <c r="B310" i="1"/>
  <c r="K309" i="1"/>
  <c r="G309" i="1"/>
  <c r="F309" i="1"/>
  <c r="E309" i="1"/>
  <c r="C309" i="1"/>
  <c r="B309" i="1"/>
  <c r="K308" i="1"/>
  <c r="G308" i="1"/>
  <c r="F308" i="1"/>
  <c r="E308" i="1"/>
  <c r="C308" i="1"/>
  <c r="B308" i="1"/>
  <c r="K307" i="1"/>
  <c r="G307" i="1"/>
  <c r="F307" i="1"/>
  <c r="E307" i="1"/>
  <c r="C307" i="1"/>
  <c r="B307" i="1"/>
  <c r="K306" i="1"/>
  <c r="G306" i="1"/>
  <c r="F306" i="1"/>
  <c r="E306" i="1"/>
  <c r="C306" i="1"/>
  <c r="B306" i="1"/>
  <c r="K305" i="1"/>
  <c r="G305" i="1"/>
  <c r="F305" i="1"/>
  <c r="E305" i="1"/>
  <c r="C305" i="1"/>
  <c r="B305" i="1"/>
  <c r="K304" i="1"/>
  <c r="G304" i="1"/>
  <c r="F304" i="1"/>
  <c r="E304" i="1"/>
  <c r="C304" i="1"/>
  <c r="B304" i="1"/>
  <c r="K303" i="1"/>
  <c r="G303" i="1"/>
  <c r="F303" i="1"/>
  <c r="E303" i="1"/>
  <c r="C303" i="1"/>
  <c r="B303" i="1"/>
  <c r="K302" i="1"/>
  <c r="G302" i="1"/>
  <c r="F302" i="1"/>
  <c r="E302" i="1"/>
  <c r="C302" i="1"/>
  <c r="B302" i="1"/>
  <c r="K301" i="1"/>
  <c r="G301" i="1"/>
  <c r="F301" i="1"/>
  <c r="E301" i="1"/>
  <c r="C301" i="1"/>
  <c r="B301" i="1"/>
  <c r="K300" i="1"/>
  <c r="G300" i="1"/>
  <c r="F300" i="1"/>
  <c r="E300" i="1"/>
  <c r="C300" i="1"/>
  <c r="B300" i="1"/>
  <c r="K299" i="1"/>
  <c r="G299" i="1"/>
  <c r="F299" i="1"/>
  <c r="E299" i="1"/>
  <c r="C299" i="1"/>
  <c r="B299" i="1"/>
  <c r="K298" i="1"/>
  <c r="G298" i="1"/>
  <c r="F298" i="1"/>
  <c r="E298" i="1"/>
  <c r="C298" i="1"/>
  <c r="B298" i="1"/>
  <c r="K297" i="1"/>
  <c r="G297" i="1"/>
  <c r="F297" i="1"/>
  <c r="E297" i="1"/>
  <c r="C297" i="1"/>
  <c r="B297" i="1"/>
  <c r="K296" i="1"/>
  <c r="G296" i="1"/>
  <c r="F296" i="1"/>
  <c r="E296" i="1"/>
  <c r="C296" i="1"/>
  <c r="B296" i="1"/>
  <c r="K295" i="1"/>
  <c r="G295" i="1"/>
  <c r="F295" i="1"/>
  <c r="E295" i="1"/>
  <c r="C295" i="1"/>
  <c r="B295" i="1"/>
  <c r="K294" i="1"/>
  <c r="G294" i="1"/>
  <c r="F294" i="1"/>
  <c r="E294" i="1"/>
  <c r="C294" i="1"/>
  <c r="B294" i="1"/>
  <c r="K293" i="1"/>
  <c r="G293" i="1"/>
  <c r="F293" i="1"/>
  <c r="E293" i="1"/>
  <c r="C293" i="1"/>
  <c r="B293" i="1"/>
  <c r="K292" i="1"/>
  <c r="G292" i="1"/>
  <c r="F292" i="1"/>
  <c r="E292" i="1"/>
  <c r="C292" i="1"/>
  <c r="B292" i="1"/>
  <c r="K291" i="1"/>
  <c r="G291" i="1"/>
  <c r="F291" i="1"/>
  <c r="E291" i="1"/>
  <c r="C291" i="1"/>
  <c r="B291" i="1"/>
  <c r="K290" i="1"/>
  <c r="G290" i="1"/>
  <c r="F290" i="1"/>
  <c r="E290" i="1"/>
  <c r="C290" i="1"/>
  <c r="B290" i="1"/>
  <c r="K289" i="1"/>
  <c r="G289" i="1"/>
  <c r="F289" i="1"/>
  <c r="E289" i="1"/>
  <c r="C289" i="1"/>
  <c r="B289" i="1"/>
  <c r="K288" i="1"/>
  <c r="G288" i="1"/>
  <c r="F288" i="1"/>
  <c r="E288" i="1"/>
  <c r="C288" i="1"/>
  <c r="B288" i="1"/>
  <c r="K287" i="1"/>
  <c r="G287" i="1"/>
  <c r="F287" i="1"/>
  <c r="E287" i="1"/>
  <c r="C287" i="1"/>
  <c r="B287" i="1"/>
  <c r="K286" i="1"/>
  <c r="G286" i="1"/>
  <c r="F286" i="1"/>
  <c r="E286" i="1"/>
  <c r="C286" i="1"/>
  <c r="B286" i="1"/>
  <c r="K285" i="1"/>
  <c r="G285" i="1"/>
  <c r="F285" i="1"/>
  <c r="E285" i="1"/>
  <c r="C285" i="1"/>
  <c r="B285" i="1"/>
  <c r="K284" i="1"/>
  <c r="G284" i="1"/>
  <c r="F284" i="1"/>
  <c r="E284" i="1"/>
  <c r="C284" i="1"/>
  <c r="B284" i="1"/>
  <c r="K283" i="1"/>
  <c r="G283" i="1"/>
  <c r="F283" i="1"/>
  <c r="E283" i="1"/>
  <c r="C283" i="1"/>
  <c r="B283" i="1"/>
  <c r="K282" i="1"/>
  <c r="G282" i="1"/>
  <c r="F282" i="1"/>
  <c r="E282" i="1"/>
  <c r="C282" i="1"/>
  <c r="B282" i="1"/>
  <c r="K281" i="1"/>
  <c r="G281" i="1"/>
  <c r="F281" i="1"/>
  <c r="E281" i="1"/>
  <c r="C281" i="1"/>
  <c r="B281" i="1"/>
  <c r="K280" i="1"/>
  <c r="G280" i="1"/>
  <c r="F280" i="1"/>
  <c r="E280" i="1"/>
  <c r="C280" i="1"/>
  <c r="B280" i="1"/>
  <c r="K279" i="1"/>
  <c r="G279" i="1"/>
  <c r="F279" i="1"/>
  <c r="E279" i="1"/>
  <c r="C279" i="1"/>
  <c r="B279" i="1"/>
  <c r="K278" i="1"/>
  <c r="G278" i="1"/>
  <c r="F278" i="1"/>
  <c r="E278" i="1"/>
  <c r="C278" i="1"/>
  <c r="B278" i="1"/>
  <c r="K277" i="1"/>
  <c r="G277" i="1"/>
  <c r="F277" i="1"/>
  <c r="E277" i="1"/>
  <c r="C277" i="1"/>
  <c r="B277" i="1"/>
  <c r="K276" i="1"/>
  <c r="G276" i="1"/>
  <c r="F276" i="1"/>
  <c r="E276" i="1"/>
  <c r="C276" i="1"/>
  <c r="B276" i="1"/>
  <c r="K275" i="1"/>
  <c r="G275" i="1"/>
  <c r="F275" i="1"/>
  <c r="E275" i="1"/>
  <c r="C275" i="1"/>
  <c r="B275" i="1"/>
  <c r="K274" i="1"/>
  <c r="G274" i="1"/>
  <c r="F274" i="1"/>
  <c r="E274" i="1"/>
  <c r="C274" i="1"/>
  <c r="B274" i="1"/>
  <c r="K273" i="1"/>
  <c r="G273" i="1"/>
  <c r="F273" i="1"/>
  <c r="E273" i="1"/>
  <c r="C273" i="1"/>
  <c r="B273" i="1"/>
  <c r="K272" i="1"/>
  <c r="G272" i="1"/>
  <c r="F272" i="1"/>
  <c r="E272" i="1"/>
  <c r="C272" i="1"/>
  <c r="B272" i="1"/>
  <c r="K271" i="1"/>
  <c r="G271" i="1"/>
  <c r="F271" i="1"/>
  <c r="E271" i="1"/>
  <c r="C271" i="1"/>
  <c r="B271" i="1"/>
  <c r="K270" i="1"/>
  <c r="G270" i="1"/>
  <c r="F270" i="1"/>
  <c r="E270" i="1"/>
  <c r="C270" i="1"/>
  <c r="B270" i="1"/>
  <c r="K269" i="1"/>
  <c r="G269" i="1"/>
  <c r="F269" i="1"/>
  <c r="E269" i="1"/>
  <c r="C269" i="1"/>
  <c r="B269" i="1"/>
  <c r="K268" i="1"/>
  <c r="G268" i="1"/>
  <c r="F268" i="1"/>
  <c r="E268" i="1"/>
  <c r="C268" i="1"/>
  <c r="B268" i="1"/>
  <c r="K267" i="1"/>
  <c r="G267" i="1"/>
  <c r="F267" i="1"/>
  <c r="E267" i="1"/>
  <c r="C267" i="1"/>
  <c r="B267" i="1"/>
  <c r="K266" i="1"/>
  <c r="G266" i="1"/>
  <c r="F266" i="1"/>
  <c r="E266" i="1"/>
  <c r="C266" i="1"/>
  <c r="B266" i="1"/>
  <c r="K265" i="1"/>
  <c r="G265" i="1"/>
  <c r="F265" i="1"/>
  <c r="E265" i="1"/>
  <c r="C265" i="1"/>
  <c r="B265" i="1"/>
  <c r="K264" i="1"/>
  <c r="G264" i="1"/>
  <c r="F264" i="1"/>
  <c r="E264" i="1"/>
  <c r="C264" i="1"/>
  <c r="B264" i="1"/>
  <c r="K263" i="1"/>
  <c r="G263" i="1"/>
  <c r="F263" i="1"/>
  <c r="E263" i="1"/>
  <c r="C263" i="1"/>
  <c r="B263" i="1"/>
  <c r="K262" i="1"/>
  <c r="G262" i="1"/>
  <c r="F262" i="1"/>
  <c r="E262" i="1"/>
  <c r="C262" i="1"/>
  <c r="B262" i="1"/>
  <c r="K261" i="1"/>
  <c r="G261" i="1"/>
  <c r="F261" i="1"/>
  <c r="E261" i="1"/>
  <c r="C261" i="1"/>
  <c r="B261" i="1"/>
  <c r="K260" i="1"/>
  <c r="G260" i="1"/>
  <c r="F260" i="1"/>
  <c r="E260" i="1"/>
  <c r="C260" i="1"/>
  <c r="B260" i="1"/>
  <c r="K259" i="1"/>
  <c r="G259" i="1"/>
  <c r="F259" i="1"/>
  <c r="E259" i="1"/>
  <c r="C259" i="1"/>
  <c r="B259" i="1"/>
  <c r="K258" i="1"/>
  <c r="G258" i="1"/>
  <c r="F258" i="1"/>
  <c r="E258" i="1"/>
  <c r="C258" i="1"/>
  <c r="B258" i="1"/>
  <c r="K257" i="1"/>
  <c r="G257" i="1"/>
  <c r="F257" i="1"/>
  <c r="E257" i="1"/>
  <c r="C257" i="1"/>
  <c r="B257" i="1"/>
  <c r="K256" i="1"/>
  <c r="G256" i="1"/>
  <c r="F256" i="1"/>
  <c r="E256" i="1"/>
  <c r="C256" i="1"/>
  <c r="B256" i="1"/>
  <c r="K255" i="1"/>
  <c r="G255" i="1"/>
  <c r="F255" i="1"/>
  <c r="E255" i="1"/>
  <c r="C255" i="1"/>
  <c r="B255" i="1"/>
  <c r="K254" i="1"/>
  <c r="G254" i="1"/>
  <c r="F254" i="1"/>
  <c r="E254" i="1"/>
  <c r="C254" i="1"/>
  <c r="B254" i="1"/>
  <c r="K253" i="1"/>
  <c r="G253" i="1"/>
  <c r="F253" i="1"/>
  <c r="E253" i="1"/>
  <c r="C253" i="1"/>
  <c r="B253" i="1"/>
  <c r="K252" i="1"/>
  <c r="G252" i="1"/>
  <c r="F252" i="1"/>
  <c r="E252" i="1"/>
  <c r="C252" i="1"/>
  <c r="B252" i="1"/>
  <c r="K251" i="1"/>
  <c r="G251" i="1"/>
  <c r="F251" i="1"/>
  <c r="E251" i="1"/>
  <c r="C251" i="1"/>
  <c r="B251" i="1"/>
  <c r="K250" i="1"/>
  <c r="G250" i="1"/>
  <c r="F250" i="1"/>
  <c r="E250" i="1"/>
  <c r="C250" i="1"/>
  <c r="B250" i="1"/>
  <c r="K249" i="1"/>
  <c r="G249" i="1"/>
  <c r="F249" i="1"/>
  <c r="E249" i="1"/>
  <c r="C249" i="1"/>
  <c r="B249" i="1"/>
  <c r="K248" i="1"/>
  <c r="G248" i="1"/>
  <c r="F248" i="1"/>
  <c r="E248" i="1"/>
  <c r="C248" i="1"/>
  <c r="B248" i="1"/>
  <c r="K247" i="1"/>
  <c r="G247" i="1"/>
  <c r="F247" i="1"/>
  <c r="E247" i="1"/>
  <c r="C247" i="1"/>
  <c r="B247" i="1"/>
  <c r="K246" i="1"/>
  <c r="G246" i="1"/>
  <c r="F246" i="1"/>
  <c r="E246" i="1"/>
  <c r="C246" i="1"/>
  <c r="B246" i="1"/>
  <c r="K245" i="1"/>
  <c r="G245" i="1"/>
  <c r="F245" i="1"/>
  <c r="E245" i="1"/>
  <c r="C245" i="1"/>
  <c r="B245" i="1"/>
  <c r="K244" i="1"/>
  <c r="G244" i="1"/>
  <c r="F244" i="1"/>
  <c r="E244" i="1"/>
  <c r="C244" i="1"/>
  <c r="B244" i="1"/>
  <c r="K243" i="1"/>
  <c r="G243" i="1"/>
  <c r="F243" i="1"/>
  <c r="E243" i="1"/>
  <c r="C243" i="1"/>
  <c r="B243" i="1"/>
  <c r="K242" i="1"/>
  <c r="G242" i="1"/>
  <c r="F242" i="1"/>
  <c r="E242" i="1"/>
  <c r="C242" i="1"/>
  <c r="B242" i="1"/>
  <c r="K241" i="1"/>
  <c r="G241" i="1"/>
  <c r="F241" i="1"/>
  <c r="E241" i="1"/>
  <c r="C241" i="1"/>
  <c r="B241" i="1"/>
  <c r="K240" i="1"/>
  <c r="G240" i="1"/>
  <c r="F240" i="1"/>
  <c r="E240" i="1"/>
  <c r="C240" i="1"/>
  <c r="B240" i="1"/>
  <c r="K239" i="1"/>
  <c r="G239" i="1"/>
  <c r="F239" i="1"/>
  <c r="E239" i="1"/>
  <c r="C239" i="1"/>
  <c r="B239" i="1"/>
  <c r="K238" i="1"/>
  <c r="G238" i="1"/>
  <c r="F238" i="1"/>
  <c r="E238" i="1"/>
  <c r="C238" i="1"/>
  <c r="B238" i="1"/>
  <c r="K237" i="1"/>
  <c r="G237" i="1"/>
  <c r="F237" i="1"/>
  <c r="E237" i="1"/>
  <c r="C237" i="1"/>
  <c r="B237" i="1"/>
  <c r="K236" i="1"/>
  <c r="G236" i="1"/>
  <c r="F236" i="1"/>
  <c r="E236" i="1"/>
  <c r="C236" i="1"/>
  <c r="B236" i="1"/>
  <c r="K235" i="1"/>
  <c r="G235" i="1"/>
  <c r="F235" i="1"/>
  <c r="E235" i="1"/>
  <c r="C235" i="1"/>
  <c r="B235" i="1"/>
  <c r="K234" i="1"/>
  <c r="G234" i="1"/>
  <c r="F234" i="1"/>
  <c r="E234" i="1"/>
  <c r="C234" i="1"/>
  <c r="B234" i="1"/>
  <c r="K233" i="1"/>
  <c r="G233" i="1"/>
  <c r="F233" i="1"/>
  <c r="E233" i="1"/>
  <c r="C233" i="1"/>
  <c r="B233" i="1"/>
  <c r="K232" i="1"/>
  <c r="G232" i="1"/>
  <c r="F232" i="1"/>
  <c r="E232" i="1"/>
  <c r="C232" i="1"/>
  <c r="B232" i="1"/>
  <c r="K231" i="1"/>
  <c r="G231" i="1"/>
  <c r="F231" i="1"/>
  <c r="E231" i="1"/>
  <c r="C231" i="1"/>
  <c r="B231" i="1"/>
  <c r="K230" i="1"/>
  <c r="G230" i="1"/>
  <c r="F230" i="1"/>
  <c r="E230" i="1"/>
  <c r="C230" i="1"/>
  <c r="B230" i="1"/>
  <c r="K229" i="1"/>
  <c r="G229" i="1"/>
  <c r="F229" i="1"/>
  <c r="E229" i="1"/>
  <c r="C229" i="1"/>
  <c r="B229" i="1"/>
  <c r="K228" i="1"/>
  <c r="G228" i="1"/>
  <c r="F228" i="1"/>
  <c r="E228" i="1"/>
  <c r="C228" i="1"/>
  <c r="B228" i="1"/>
  <c r="K227" i="1"/>
  <c r="G227" i="1"/>
  <c r="F227" i="1"/>
  <c r="E227" i="1"/>
  <c r="C227" i="1"/>
  <c r="B227" i="1"/>
  <c r="K226" i="1"/>
  <c r="G226" i="1"/>
  <c r="F226" i="1"/>
  <c r="E226" i="1"/>
  <c r="C226" i="1"/>
  <c r="B226" i="1"/>
  <c r="K225" i="1"/>
  <c r="G225" i="1"/>
  <c r="F225" i="1"/>
  <c r="E225" i="1"/>
  <c r="C225" i="1"/>
  <c r="B225" i="1"/>
  <c r="K224" i="1"/>
  <c r="G224" i="1"/>
  <c r="F224" i="1"/>
  <c r="E224" i="1"/>
  <c r="C224" i="1"/>
  <c r="B224" i="1"/>
  <c r="K223" i="1"/>
  <c r="G223" i="1"/>
  <c r="F223" i="1"/>
  <c r="E223" i="1"/>
  <c r="C223" i="1"/>
  <c r="B223" i="1"/>
  <c r="K222" i="1"/>
  <c r="G222" i="1"/>
  <c r="F222" i="1"/>
  <c r="E222" i="1"/>
  <c r="C222" i="1"/>
  <c r="B222" i="1"/>
  <c r="K221" i="1"/>
  <c r="G221" i="1"/>
  <c r="F221" i="1"/>
  <c r="E221" i="1"/>
  <c r="C221" i="1"/>
  <c r="B221" i="1"/>
  <c r="K220" i="1"/>
  <c r="G220" i="1"/>
  <c r="F220" i="1"/>
  <c r="E220" i="1"/>
  <c r="C220" i="1"/>
  <c r="B220" i="1"/>
  <c r="K219" i="1"/>
  <c r="G219" i="1"/>
  <c r="F219" i="1"/>
  <c r="E219" i="1"/>
  <c r="C219" i="1"/>
  <c r="B219" i="1"/>
  <c r="K218" i="1"/>
  <c r="G218" i="1"/>
  <c r="F218" i="1"/>
  <c r="E218" i="1"/>
  <c r="C218" i="1"/>
  <c r="B218" i="1"/>
  <c r="K217" i="1"/>
  <c r="G217" i="1"/>
  <c r="F217" i="1"/>
  <c r="E217" i="1"/>
  <c r="C217" i="1"/>
  <c r="B217" i="1"/>
  <c r="K216" i="1"/>
  <c r="G216" i="1"/>
  <c r="F216" i="1"/>
  <c r="E216" i="1"/>
  <c r="C216" i="1"/>
  <c r="B216" i="1"/>
  <c r="K215" i="1"/>
  <c r="G215" i="1"/>
  <c r="F215" i="1"/>
  <c r="E215" i="1"/>
  <c r="C215" i="1"/>
  <c r="B215" i="1"/>
  <c r="K214" i="1"/>
  <c r="G214" i="1"/>
  <c r="F214" i="1"/>
  <c r="E214" i="1"/>
  <c r="C214" i="1"/>
  <c r="B214" i="1"/>
  <c r="K213" i="1"/>
  <c r="G213" i="1"/>
  <c r="F213" i="1"/>
  <c r="E213" i="1"/>
  <c r="C213" i="1"/>
  <c r="B213" i="1"/>
  <c r="K212" i="1"/>
  <c r="G212" i="1"/>
  <c r="F212" i="1"/>
  <c r="E212" i="1"/>
  <c r="C212" i="1"/>
  <c r="B212" i="1"/>
  <c r="K211" i="1"/>
  <c r="G211" i="1"/>
  <c r="F211" i="1"/>
  <c r="E211" i="1"/>
  <c r="C211" i="1"/>
  <c r="B211" i="1"/>
  <c r="K210" i="1"/>
  <c r="G210" i="1"/>
  <c r="F210" i="1"/>
  <c r="E210" i="1"/>
  <c r="C210" i="1"/>
  <c r="B210" i="1"/>
  <c r="K209" i="1"/>
  <c r="G209" i="1"/>
  <c r="F209" i="1"/>
  <c r="E209" i="1"/>
  <c r="C209" i="1"/>
  <c r="B209" i="1"/>
  <c r="K208" i="1"/>
  <c r="G208" i="1"/>
  <c r="F208" i="1"/>
  <c r="E208" i="1"/>
  <c r="C208" i="1"/>
  <c r="B208" i="1"/>
  <c r="K207" i="1"/>
  <c r="G207" i="1"/>
  <c r="F207" i="1"/>
  <c r="E207" i="1"/>
  <c r="C207" i="1"/>
  <c r="B207" i="1"/>
  <c r="K206" i="1"/>
  <c r="G206" i="1"/>
  <c r="F206" i="1"/>
  <c r="E206" i="1"/>
  <c r="C206" i="1"/>
  <c r="B206" i="1"/>
  <c r="K205" i="1"/>
  <c r="G205" i="1"/>
  <c r="F205" i="1"/>
  <c r="E205" i="1"/>
  <c r="C205" i="1"/>
  <c r="B205" i="1"/>
  <c r="K204" i="1"/>
  <c r="G204" i="1"/>
  <c r="F204" i="1"/>
  <c r="E204" i="1"/>
  <c r="C204" i="1"/>
  <c r="B204" i="1"/>
  <c r="K203" i="1"/>
  <c r="G203" i="1"/>
  <c r="F203" i="1"/>
  <c r="E203" i="1"/>
  <c r="C203" i="1"/>
  <c r="B203" i="1"/>
  <c r="K202" i="1"/>
  <c r="G202" i="1"/>
  <c r="F202" i="1"/>
  <c r="E202" i="1"/>
  <c r="C202" i="1"/>
  <c r="B202" i="1"/>
  <c r="K201" i="1"/>
  <c r="G201" i="1"/>
  <c r="F201" i="1"/>
  <c r="E201" i="1"/>
  <c r="C201" i="1"/>
  <c r="B201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<sst xmlns="http://schemas.openxmlformats.org/spreadsheetml/2006/main" count="13679" uniqueCount="6707">
  <si>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</si>
  <si>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</si>
  <si>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</si>
  <si>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</si>
  <si>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</si>
  <si>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</si>
  <si>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</si>
  <si>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</si>
  <si>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</si>
  <si>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</si>
  <si>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</si>
  <si>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</si>
  <si>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</si>
  <si>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</si>
  <si>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</si>
  <si>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</si>
  <si>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</si>
  <si>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</si>
  <si>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</si>
  <si>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</si>
  <si>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</si>
  <si>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</si>
  <si>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</si>
  <si>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</si>
  <si>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</si>
  <si>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</si>
  <si>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</si>
  <si>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</si>
  <si>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</si>
  <si>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</si>
  <si>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</si>
  <si>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</si>
  <si>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</si>
  <si>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</si>
  <si>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</si>
  <si>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</si>
  <si>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</si>
  <si>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</si>
  <si>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</si>
  <si>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</si>
  <si>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</si>
  <si>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</si>
  <si>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</si>
  <si>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</si>
  <si>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</si>
  <si>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</si>
  <si>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</si>
  <si>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</si>
  <si>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</si>
  <si>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</si>
  <si>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</si>
  <si>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</si>
  <si>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</si>
  <si>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</si>
  <si>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</si>
  <si>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</si>
  <si>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</si>
  <si>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</si>
  <si>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</si>
  <si>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</si>
  <si>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</si>
  <si>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</si>
  <si>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</si>
  <si>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</si>
  <si>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</si>
  <si>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</si>
  <si>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</si>
  <si>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</si>
  <si>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</si>
  <si>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</si>
  <si>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</si>
  <si>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</si>
  <si>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</si>
  <si>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</si>
  <si>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</si>
  <si>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</si>
  <si>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</si>
  <si>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</si>
  <si>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</si>
  <si>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</si>
  <si>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</si>
  <si>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</si>
  <si>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</si>
  <si>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</si>
  <si>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</si>
  <si>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</si>
  <si>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</si>
  <si>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</si>
  <si>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</si>
  <si>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</si>
  <si>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</si>
  <si>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</si>
  <si>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</si>
  <si>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</si>
  <si>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</si>
  <si>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</si>
  <si>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</si>
  <si>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</si>
  <si>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</si>
  <si>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</si>
  <si>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</si>
  <si>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</si>
  <si>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</si>
  <si>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</si>
  <si>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</si>
  <si>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</si>
  <si>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</si>
  <si>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</si>
  <si>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</si>
  <si>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</si>
  <si>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</si>
  <si>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</si>
  <si>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</si>
  <si>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</si>
  <si>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</si>
  <si>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</si>
  <si>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</si>
  <si>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</si>
  <si>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</si>
  <si>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</si>
  <si>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</si>
  <si>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</si>
  <si>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</si>
  <si>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</si>
  <si>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</si>
  <si>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</si>
  <si>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</si>
  <si>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</si>
  <si>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</si>
  <si>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</si>
  <si>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</si>
  <si>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</si>
  <si>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</si>
  <si>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</si>
  <si>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</si>
  <si>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</si>
  <si>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</si>
  <si>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</si>
  <si>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</si>
  <si>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</si>
  <si>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</si>
  <si>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</si>
  <si>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</si>
  <si>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</si>
  <si>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</si>
  <si>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</si>
  <si>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</si>
  <si>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</si>
  <si>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</si>
  <si>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</si>
  <si>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</si>
  <si>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</si>
  <si>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</si>
  <si>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</si>
  <si>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</si>
  <si>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</si>
  <si>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</si>
  <si>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</si>
  <si>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</si>
  <si>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</si>
  <si>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</si>
  <si>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</si>
  <si>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</si>
  <si>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</si>
  <si>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</si>
  <si>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</si>
  <si>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</si>
  <si>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</si>
  <si>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</si>
  <si>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</si>
  <si>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</si>
  <si>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</si>
  <si>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</si>
  <si>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</si>
  <si>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</si>
  <si>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</si>
  <si>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</si>
  <si>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</si>
  <si>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</si>
  <si>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</si>
  <si>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</si>
  <si>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</si>
  <si>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</si>
  <si>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</si>
  <si>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</si>
  <si>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</si>
  <si>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</si>
  <si>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</si>
  <si>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</si>
  <si>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</si>
  <si>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</si>
  <si>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</si>
  <si>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</si>
  <si>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</si>
  <si>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</si>
  <si>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</si>
  <si>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</si>
  <si>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</si>
  <si>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</si>
  <si>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</si>
  <si>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</si>
  <si>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</si>
  <si>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</si>
  <si>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</si>
  <si>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</si>
  <si>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</si>
  <si>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</si>
  <si>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</si>
  <si>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</si>
  <si>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</si>
  <si>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</si>
  <si>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</si>
  <si>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</si>
  <si>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</si>
  <si>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</si>
  <si>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</si>
  <si>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</si>
  <si>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</si>
  <si>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</si>
  <si>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</si>
  <si>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</si>
  <si>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</si>
  <si>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</si>
  <si>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</si>
  <si>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</si>
  <si>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</si>
  <si>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</si>
  <si>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</si>
  <si>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</si>
  <si>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</si>
  <si>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</si>
  <si>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</si>
  <si>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</si>
  <si>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</si>
  <si>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</si>
  <si>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</si>
  <si>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</si>
  <si>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</si>
  <si>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</si>
  <si>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</si>
  <si>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</si>
  <si>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</si>
  <si>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</si>
  <si>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</si>
  <si>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</si>
  <si>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</si>
  <si>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</si>
  <si>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</si>
  <si>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</si>
  <si>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</si>
  <si>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</si>
  <si>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</si>
  <si>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</si>
  <si>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</si>
  <si>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</si>
  <si>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</si>
  <si>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</si>
  <si>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</si>
  <si>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</si>
  <si>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</si>
  <si>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</si>
  <si>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</si>
  <si>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</si>
  <si>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</si>
  <si>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</si>
  <si>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</si>
  <si>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</si>
  <si>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</si>
  <si>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</si>
  <si>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</si>
  <si>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</si>
  <si>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</si>
  <si>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</si>
  <si>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</si>
  <si>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</si>
  <si>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</si>
  <si>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</si>
  <si>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</si>
  <si>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</si>
  <si>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</si>
  <si>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</si>
  <si>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</si>
  <si>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</si>
  <si>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</si>
  <si>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</si>
  <si>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</si>
  <si>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</si>
  <si>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</si>
  <si>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</si>
  <si>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</si>
  <si>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</si>
  <si>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</si>
  <si>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</si>
  <si>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</si>
  <si>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</si>
  <si>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</si>
  <si>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</si>
  <si>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</si>
  <si>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</si>
  <si>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</si>
  <si>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</si>
  <si>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</si>
  <si>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</si>
  <si>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</si>
  <si>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</si>
  <si>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</si>
  <si>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</si>
  <si>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</si>
  <si>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</si>
  <si>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</si>
  <si>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</si>
  <si>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</si>
  <si>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</si>
  <si>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</si>
  <si>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</si>
  <si>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</si>
  <si>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</si>
  <si>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</si>
  <si>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</si>
  <si>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</si>
  <si>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</si>
  <si>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</si>
  <si>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</si>
  <si>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</si>
  <si>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</si>
  <si>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</si>
  <si>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</si>
  <si>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</si>
  <si>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</si>
  <si>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</si>
  <si>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</si>
  <si>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</si>
  <si>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</si>
  <si>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</si>
  <si>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</si>
  <si>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</si>
  <si>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</si>
  <si>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</si>
  <si>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</si>
  <si>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</si>
  <si>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</si>
  <si>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</si>
  <si>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</si>
  <si>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</si>
  <si>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</si>
  <si>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</si>
  <si>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</si>
  <si>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</si>
  <si>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</si>
  <si>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</si>
  <si>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</si>
  <si>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</si>
  <si>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</si>
  <si>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</si>
  <si>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</si>
  <si>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</si>
  <si>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</si>
  <si>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</si>
  <si>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</si>
  <si>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</si>
  <si>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</si>
  <si>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</si>
  <si>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</si>
  <si>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</si>
  <si>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</si>
  <si>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</si>
  <si>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</si>
  <si>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</si>
  <si>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</si>
  <si>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</si>
  <si>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</si>
  <si>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</si>
  <si>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</si>
  <si>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</si>
  <si>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</si>
  <si>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</si>
  <si>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</si>
  <si>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</si>
  <si>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</si>
  <si>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</si>
  <si>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</si>
  <si>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</si>
  <si>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</si>
  <si>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</si>
  <si>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</si>
  <si>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</si>
  <si>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</si>
  <si>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</si>
  <si>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</si>
  <si>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</si>
  <si>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</si>
  <si>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</si>
  <si>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</si>
  <si>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</si>
  <si>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</si>
  <si>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</si>
  <si>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</si>
  <si>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</si>
  <si>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</si>
  <si>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</si>
  <si>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</si>
  <si>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</si>
  <si>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</si>
  <si>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</si>
  <si>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</si>
  <si>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</si>
  <si>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</si>
  <si>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</si>
  <si>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</si>
  <si>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</si>
  <si>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</si>
  <si>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</si>
  <si>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</si>
  <si>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</si>
  <si>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</si>
  <si>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</si>
  <si>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</si>
  <si>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</si>
  <si>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</si>
  <si>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</si>
  <si>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</si>
  <si>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</si>
  <si>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</si>
  <si>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</si>
  <si>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</si>
  <si>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</si>
  <si>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</si>
  <si>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</si>
  <si>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</si>
  <si>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</si>
  <si>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</si>
  <si>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</si>
  <si>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</si>
  <si>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</si>
  <si>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</si>
  <si>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</si>
  <si>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</si>
  <si>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</si>
  <si>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</si>
  <si>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</si>
  <si>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</si>
  <si>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</si>
  <si>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</si>
  <si>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</si>
  <si>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</si>
  <si>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</si>
  <si>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</si>
  <si>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</si>
  <si>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</si>
  <si>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</si>
  <si>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</si>
  <si>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</si>
  <si>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</si>
  <si>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</si>
  <si>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</si>
  <si>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</si>
  <si>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</si>
  <si>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</si>
  <si>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</si>
  <si>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</si>
  <si>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</si>
  <si>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</si>
  <si>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</si>
  <si>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</si>
  <si>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</si>
  <si>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</si>
  <si>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</si>
  <si>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</si>
  <si>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</si>
  <si>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</si>
  <si>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</si>
  <si>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</si>
  <si>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</si>
  <si>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</si>
  <si>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</si>
  <si>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</si>
  <si>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</si>
  <si>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</si>
  <si>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</si>
  <si>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</si>
  <si>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</si>
  <si>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</si>
  <si>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</si>
  <si>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</si>
  <si>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</si>
  <si>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</si>
  <si>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</si>
  <si>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</si>
  <si>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</si>
  <si>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</si>
  <si>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</si>
  <si>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</si>
  <si>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</si>
  <si>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</si>
  <si>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</si>
  <si>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</si>
  <si>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</si>
  <si>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</si>
  <si>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</si>
  <si>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</si>
  <si>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</si>
  <si>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</si>
  <si>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</si>
  <si>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</si>
  <si>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</si>
  <si>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</si>
  <si>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</si>
  <si>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</si>
  <si>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</si>
  <si>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</si>
  <si>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</si>
  <si>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</si>
  <si>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</si>
  <si>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</si>
  <si>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</si>
  <si>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</si>
  <si>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</si>
  <si>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</si>
  <si>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</si>
  <si>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</si>
  <si>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</si>
  <si>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</si>
  <si>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</si>
  <si>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</si>
  <si>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</si>
  <si>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</si>
  <si>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</si>
  <si>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</si>
  <si>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</si>
  <si>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</si>
  <si>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</si>
  <si>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</si>
  <si>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</si>
  <si>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</si>
  <si>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</si>
  <si>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</si>
  <si>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</si>
  <si>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</si>
  <si>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</si>
  <si>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</si>
  <si>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</si>
  <si>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</si>
  <si>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</si>
  <si>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</si>
  <si>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</si>
  <si>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</si>
  <si>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</si>
  <si>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</si>
  <si>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</si>
  <si>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</si>
  <si>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</si>
  <si>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</si>
  <si>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</si>
  <si>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</si>
  <si>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</si>
  <si>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</si>
  <si>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</si>
  <si>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</si>
  <si>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</si>
  <si>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</si>
  <si>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</si>
  <si>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</si>
  <si>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</si>
  <si>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</si>
  <si>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</si>
  <si>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</si>
  <si>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</si>
  <si>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</si>
  <si>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</si>
  <si>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</si>
  <si>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</si>
  <si>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</si>
  <si>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</si>
  <si>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</si>
  <si>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</si>
  <si>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</si>
  <si>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</si>
  <si>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</si>
  <si>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</si>
  <si>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</si>
  <si>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</si>
  <si>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</si>
  <si>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</si>
  <si>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</si>
  <si>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</si>
  <si>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</si>
  <si>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</si>
  <si>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</si>
  <si>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</si>
  <si>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</si>
  <si>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</si>
  <si>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</si>
  <si>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</si>
  <si>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</si>
  <si>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</si>
  <si>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</si>
  <si>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</si>
  <si>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</si>
  <si>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</si>
  <si>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</si>
  <si>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</si>
  <si>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</si>
  <si>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</si>
  <si>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</si>
  <si>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</si>
  <si>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</si>
  <si>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</si>
  <si>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</si>
  <si>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</si>
  <si>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</si>
  <si>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</si>
  <si>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</si>
  <si>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</si>
  <si>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</si>
  <si>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</si>
  <si>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</si>
  <si>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</si>
  <si>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</si>
  <si>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</si>
  <si>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</si>
  <si>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</si>
  <si>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</si>
  <si>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</si>
  <si>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</si>
  <si>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</si>
  <si>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</si>
  <si>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</si>
  <si>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</si>
  <si>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</si>
  <si>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</si>
  <si>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</si>
  <si>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</si>
  <si>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</si>
  <si>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</si>
  <si>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</si>
  <si>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</si>
  <si>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</si>
  <si>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</si>
  <si>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</si>
  <si>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</si>
  <si>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</si>
  <si>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</si>
  <si>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</si>
  <si>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</si>
  <si>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</si>
  <si>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</si>
  <si>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</si>
  <si>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</si>
  <si>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</si>
  <si>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</si>
  <si>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</si>
  <si>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</si>
  <si>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</si>
  <si>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</si>
  <si>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</si>
  <si>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</si>
  <si>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</si>
  <si>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</si>
  <si>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</si>
  <si>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</si>
  <si>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</si>
  <si>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</si>
  <si>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</si>
  <si>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</si>
  <si>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</si>
  <si>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</si>
  <si>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</si>
  <si>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</si>
  <si>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</si>
  <si>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</si>
  <si>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</si>
  <si>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</si>
  <si>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</si>
  <si>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</si>
  <si>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</si>
  <si>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</si>
  <si>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</si>
  <si>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</si>
  <si>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</si>
  <si>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</si>
  <si>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</si>
  <si>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</si>
  <si>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</si>
  <si>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</si>
  <si>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</si>
  <si>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</si>
  <si>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</si>
  <si>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</si>
  <si>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</si>
  <si>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</si>
  <si>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</si>
  <si>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</si>
  <si>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</si>
  <si>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</si>
  <si>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</si>
  <si>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</si>
  <si>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</si>
  <si>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</si>
  <si>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</si>
  <si>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</si>
  <si>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</si>
  <si>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</si>
  <si>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</si>
  <si>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</si>
  <si>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</si>
  <si>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</si>
  <si>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</si>
  <si>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</si>
  <si>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</si>
  <si>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</si>
  <si>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</si>
  <si>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</si>
  <si>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</si>
  <si>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</si>
  <si>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</si>
  <si>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</si>
  <si>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</si>
  <si>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</si>
  <si>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</si>
  <si>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</si>
  <si>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</si>
  <si>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</si>
  <si>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</si>
  <si>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</si>
  <si>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</si>
  <si>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</si>
  <si>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</si>
  <si>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</si>
  <si>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</si>
  <si>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</si>
  <si>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</si>
  <si>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</si>
  <si>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</si>
  <si>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</si>
  <si>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</si>
  <si>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</si>
  <si>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</si>
  <si>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</si>
  <si>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</si>
  <si>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</si>
  <si>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</si>
  <si>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</si>
  <si>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</si>
  <si>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</si>
  <si>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</si>
  <si>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</si>
  <si>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</si>
  <si>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</si>
  <si>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</si>
  <si>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</si>
  <si>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</si>
  <si>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</si>
  <si>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</si>
  <si>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</si>
  <si>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</si>
  <si>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</si>
  <si>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</si>
  <si>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</si>
  <si>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</si>
  <si>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</si>
  <si>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</si>
  <si>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</si>
  <si>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</si>
  <si>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</si>
  <si>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</si>
  <si>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</si>
  <si>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</si>
  <si>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</si>
  <si>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</si>
  <si>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</si>
  <si>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</si>
  <si>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</si>
  <si>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</si>
  <si>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</si>
  <si>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</si>
  <si>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</si>
  <si>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</si>
  <si>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</si>
  <si>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</si>
  <si>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</si>
  <si>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</si>
  <si>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</si>
  <si>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</si>
  <si>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</si>
  <si>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</si>
  <si>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</si>
  <si>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</si>
  <si>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</si>
  <si>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</si>
  <si>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</si>
  <si>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</si>
  <si>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</si>
  <si>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</si>
  <si>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</si>
  <si>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</si>
  <si>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</si>
  <si>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</si>
  <si>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</si>
  <si>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</si>
  <si>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</si>
  <si>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</si>
  <si>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</si>
  <si>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</si>
  <si>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</si>
  <si>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</si>
  <si>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</si>
  <si>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</si>
  <si>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</si>
  <si>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</si>
  <si>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</si>
  <si>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</si>
  <si>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</si>
  <si>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</si>
  <si>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</si>
  <si>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</si>
  <si>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</si>
  <si>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</si>
  <si>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</si>
  <si>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</si>
  <si>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</si>
  <si>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</si>
  <si>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</si>
  <si>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</si>
  <si>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</si>
  <si>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</si>
  <si>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</si>
  <si>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</si>
  <si>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</si>
  <si>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</si>
  <si>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</si>
  <si>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</si>
  <si>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</si>
  <si>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</si>
  <si>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</si>
  <si>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</si>
  <si>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</si>
  <si>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</si>
  <si>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</si>
  <si>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</si>
  <si>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</si>
  <si>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</si>
  <si>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</si>
  <si>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</si>
  <si>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</si>
  <si>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</si>
  <si>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</si>
  <si>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</si>
  <si>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</si>
  <si>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</si>
  <si>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</si>
  <si>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</si>
  <si>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</si>
  <si>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</si>
  <si>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</si>
  <si>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</si>
  <si>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</si>
  <si>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</si>
  <si>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</si>
  <si>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</si>
  <si>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</si>
  <si>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</si>
  <si>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</si>
  <si>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</si>
  <si>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</si>
  <si>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</si>
  <si>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</si>
  <si>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</si>
  <si>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</si>
  <si>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</si>
  <si>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</si>
  <si>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</si>
  <si>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</si>
  <si>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</si>
  <si>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</si>
  <si>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</si>
  <si>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</si>
  <si>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</si>
  <si>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</si>
  <si>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</si>
  <si>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</si>
  <si>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</si>
  <si>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</si>
  <si>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</si>
  <si>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</si>
  <si>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</si>
  <si>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</si>
  <si>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</si>
  <si>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</si>
  <si>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</si>
  <si>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</si>
  <si>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</si>
  <si>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</si>
  <si>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</si>
  <si>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</si>
  <si>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</si>
  <si>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</si>
  <si>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</si>
  <si>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</si>
  <si>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</si>
  <si>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</si>
  <si>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</si>
  <si>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</si>
  <si>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</si>
  <si>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</si>
  <si>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</si>
  <si>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</si>
  <si>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</si>
  <si>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</si>
  <si>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</si>
  <si>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</si>
  <si>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</si>
  <si>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</si>
  <si>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</si>
  <si>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</si>
  <si>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</si>
  <si>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</si>
  <si>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</si>
  <si>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</si>
  <si>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</si>
  <si>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</si>
  <si>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</si>
  <si>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</si>
  <si>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</si>
  <si>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</si>
  <si>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</si>
  <si>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</si>
  <si>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</si>
  <si>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</si>
  <si>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</si>
  <si>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</si>
  <si>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</si>
  <si>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</si>
  <si>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</si>
  <si>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</si>
  <si>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</si>
  <si>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</si>
  <si>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</si>
  <si>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</si>
  <si>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</si>
  <si>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</si>
  <si>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</si>
  <si>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</si>
  <si>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</si>
  <si>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</si>
  <si>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</si>
  <si>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</si>
  <si>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</si>
  <si>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</si>
  <si>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</si>
  <si>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</si>
  <si>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</si>
  <si>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</si>
  <si>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</si>
  <si>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</si>
  <si>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</si>
  <si>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</si>
  <si>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</si>
  <si>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</si>
  <si>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</si>
  <si>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</si>
  <si>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</si>
  <si>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</si>
  <si>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</si>
  <si>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</si>
  <si>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</si>
  <si>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</si>
  <si>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</si>
  <si>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</si>
  <si>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</si>
  <si>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</si>
  <si>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</si>
  <si>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</si>
  <si>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</si>
  <si>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</si>
  <si>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</si>
  <si>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</si>
  <si>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</si>
  <si>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</si>
  <si>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</si>
  <si>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</si>
  <si>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</si>
  <si>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</si>
  <si>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</si>
  <si>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</si>
  <si>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</si>
  <si>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</si>
  <si>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</si>
  <si>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</si>
  <si>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</si>
  <si>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</si>
  <si>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</si>
  <si>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</si>
  <si>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</si>
  <si>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</si>
  <si>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</si>
  <si>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</si>
  <si>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</si>
  <si>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</si>
  <si>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</si>
  <si>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</si>
  <si>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</si>
  <si>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</si>
  <si>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</si>
  <si>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</si>
  <si>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</si>
  <si>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</si>
  <si>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</si>
  <si>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</si>
  <si>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</si>
  <si>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</si>
  <si>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</si>
  <si>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</si>
  <si>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</si>
  <si>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</si>
  <si>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</si>
  <si>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</si>
  <si>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</si>
  <si>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</si>
  <si>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</si>
  <si>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</si>
  <si>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</si>
  <si>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</si>
  <si>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</si>
  <si>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</si>
  <si>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</si>
  <si>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</si>
  <si>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</si>
  <si>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</si>
  <si>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</si>
  <si>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</si>
  <si>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</si>
  <si>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</si>
  <si>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</si>
  <si>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</si>
  <si>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</si>
  <si>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</si>
  <si>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</si>
  <si>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</si>
  <si>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</si>
  <si>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</si>
  <si>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</si>
  <si>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</si>
  <si>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</si>
  <si>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</si>
  <si>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</si>
  <si>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</si>
  <si>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</si>
  <si>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</si>
  <si>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</si>
  <si>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</si>
  <si>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</si>
  <si>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</si>
  <si>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</si>
  <si>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</si>
  <si>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</si>
  <si>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</si>
  <si>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</si>
  <si>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</si>
  <si>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</si>
  <si>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</si>
  <si>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</si>
  <si>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</si>
  <si>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</si>
  <si>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</si>
  <si>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</si>
  <si>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</si>
  <si>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</si>
  <si>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</si>
  <si>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</si>
  <si>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</si>
  <si>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</si>
  <si>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</si>
  <si>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</si>
  <si>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</si>
  <si>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</si>
  <si>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</si>
  <si>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</si>
  <si>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</si>
  <si>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</si>
  <si>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</si>
  <si>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</si>
  <si>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</si>
  <si>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</si>
  <si>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</si>
  <si>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</si>
  <si>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</si>
  <si>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</si>
  <si>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</si>
  <si>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</si>
  <si>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</si>
  <si>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</si>
  <si>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</si>
  <si>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</si>
  <si>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</si>
  <si>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</si>
  <si>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</si>
  <si>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</si>
  <si>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</si>
  <si>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</si>
  <si>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</si>
  <si>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</si>
  <si>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</si>
  <si>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</si>
  <si>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</si>
  <si>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</si>
  <si>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</si>
  <si>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</si>
  <si>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</si>
  <si>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</si>
  <si>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</si>
  <si>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</si>
  <si>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</si>
  <si>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</si>
  <si>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</si>
  <si>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</si>
  <si>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</si>
  <si>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</si>
  <si>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</si>
  <si>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</si>
  <si>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</si>
  <si>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</si>
  <si>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</si>
  <si>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</si>
  <si>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</si>
  <si>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</si>
  <si>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</si>
  <si>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</si>
  <si>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</si>
  <si>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</si>
  <si>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</si>
  <si>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</si>
  <si>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</si>
  <si>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</si>
  <si>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</si>
  <si>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</si>
  <si>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</si>
  <si>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</si>
  <si>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</si>
  <si>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</si>
  <si>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</si>
  <si>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</si>
  <si>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</si>
  <si>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</si>
  <si>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</si>
  <si>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</si>
  <si>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</si>
  <si>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</si>
  <si>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</si>
  <si>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</si>
  <si>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</si>
  <si>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</si>
  <si>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</si>
  <si>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</si>
  <si>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</si>
  <si>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</si>
  <si>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</si>
  <si>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</si>
  <si>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</si>
  <si>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</si>
  <si>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</si>
  <si>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</si>
  <si>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</si>
  <si>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</si>
  <si>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</si>
  <si>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</si>
  <si>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</si>
  <si>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</si>
  <si>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</si>
  <si>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</si>
  <si>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</si>
  <si>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</si>
  <si>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</si>
  <si>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</si>
  <si>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</si>
  <si>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</si>
  <si>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</si>
  <si>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</si>
  <si>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</si>
  <si>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</si>
  <si>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</si>
  <si>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</si>
  <si>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</si>
  <si>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</si>
  <si>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</si>
  <si>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</si>
  <si>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</si>
  <si>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</si>
  <si>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</si>
  <si>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</si>
  <si>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</si>
  <si>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</si>
  <si>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</si>
  <si>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</si>
  <si>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</si>
  <si>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</si>
  <si>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</si>
  <si>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</si>
  <si>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</si>
  <si>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</si>
  <si>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</si>
  <si>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</si>
  <si>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</si>
  <si>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</si>
  <si>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</si>
  <si>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</si>
  <si>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</si>
  <si>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</si>
  <si>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</si>
  <si>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</si>
  <si>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</si>
  <si>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</si>
  <si>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</si>
  <si>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</si>
  <si>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</si>
  <si>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</si>
  <si>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</si>
  <si>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</si>
  <si>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</si>
  <si>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</si>
  <si>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</si>
  <si>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</si>
  <si>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</si>
  <si>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</si>
  <si>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</si>
  <si>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</si>
  <si>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</si>
  <si>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</si>
  <si>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</si>
  <si>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</si>
  <si>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</si>
  <si>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</si>
  <si>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</si>
  <si>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</si>
  <si>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</si>
  <si>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</si>
  <si>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</si>
  <si>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</si>
  <si>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</si>
  <si>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</si>
  <si>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</si>
  <si>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</si>
  <si>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</si>
  <si>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</si>
  <si>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</si>
  <si>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</si>
  <si>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</si>
  <si>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</si>
  <si>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</si>
  <si>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</si>
  <si>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</si>
  <si>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</si>
  <si>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</si>
  <si>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</si>
  <si>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</si>
  <si>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</si>
  <si>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</si>
  <si>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</si>
  <si>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</si>
  <si>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</si>
  <si>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</si>
  <si>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</si>
  <si>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</si>
  <si>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</si>
  <si>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</si>
  <si>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</si>
  <si>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</si>
  <si>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</si>
  <si>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</si>
  <si>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</si>
  <si>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</si>
  <si>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</si>
  <si>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</si>
  <si>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</si>
  <si>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</si>
  <si>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</si>
  <si>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</si>
  <si>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</si>
  <si>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</si>
  <si>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</si>
  <si>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</si>
  <si>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</si>
  <si>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</si>
  <si>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</si>
  <si>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</si>
  <si>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</si>
  <si>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</si>
  <si>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</si>
  <si>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</si>
  <si>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</si>
  <si>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</si>
  <si>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</si>
  <si>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</si>
  <si>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</si>
  <si>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</si>
  <si>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</si>
  <si>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</si>
  <si>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</si>
  <si>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</si>
  <si>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</si>
  <si>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</si>
  <si>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</si>
  <si>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</si>
  <si>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</si>
  <si>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</si>
  <si>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</si>
  <si>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</si>
  <si>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</si>
  <si>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</si>
  <si>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</si>
  <si>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</si>
  <si>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</si>
  <si>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</si>
  <si>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</si>
  <si>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</si>
  <si>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</si>
  <si>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</si>
  <si>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</si>
  <si>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</si>
  <si>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</si>
  <si>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</si>
  <si>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</si>
  <si>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</si>
  <si>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</si>
  <si>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</si>
  <si>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</si>
  <si>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</si>
  <si>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</si>
  <si>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</si>
  <si>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</si>
  <si>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</si>
  <si>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</si>
  <si>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</si>
  <si>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</si>
  <si>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</si>
  <si>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</si>
  <si>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</si>
  <si>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</si>
  <si>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</si>
  <si>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</si>
  <si>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</si>
  <si>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</si>
  <si>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</si>
  <si>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</si>
  <si>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</si>
  <si>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</si>
  <si>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</si>
  <si>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</si>
  <si>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</si>
  <si>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</si>
  <si>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</si>
  <si>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</si>
  <si>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</si>
  <si>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</si>
  <si>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</si>
  <si>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</si>
  <si>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</si>
  <si>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</si>
  <si>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</si>
  <si>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</si>
  <si>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</si>
  <si>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</si>
  <si>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</si>
  <si>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</si>
  <si>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</si>
  <si>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</si>
  <si>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</si>
  <si>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</si>
  <si>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</si>
  <si>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</si>
  <si>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</si>
  <si>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</si>
  <si>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</si>
  <si>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</si>
  <si>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</si>
  <si>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</si>
  <si>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</si>
  <si>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</si>
  <si>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</si>
  <si>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</si>
  <si>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</si>
  <si>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</si>
  <si>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</si>
  <si>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</si>
  <si>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</si>
  <si>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</si>
  <si>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</si>
  <si>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</si>
  <si>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</si>
  <si>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</si>
  <si>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</si>
  <si>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</si>
  <si>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</si>
  <si>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</si>
  <si>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</si>
  <si>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</si>
  <si>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</si>
  <si>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</si>
  <si>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</si>
  <si>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</si>
  <si>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</si>
  <si>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</si>
  <si>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</si>
  <si>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</si>
  <si>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</si>
  <si>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</si>
  <si>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</si>
  <si>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</si>
  <si>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</si>
  <si>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</si>
  <si>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</si>
  <si>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</si>
  <si>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</si>
  <si>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</si>
  <si>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</si>
  <si>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</si>
  <si>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</si>
  <si>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</si>
  <si>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</si>
  <si>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</si>
  <si>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</si>
  <si>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</si>
  <si>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</si>
  <si>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</si>
  <si>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</si>
  <si>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</si>
  <si>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</si>
  <si>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</si>
  <si>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</si>
  <si>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</si>
  <si>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</si>
  <si>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</si>
  <si>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</si>
  <si>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</si>
  <si>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</si>
  <si>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</si>
  <si>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</si>
  <si>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</si>
  <si>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</si>
  <si>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</si>
  <si>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</si>
  <si>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</si>
  <si>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</si>
  <si>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</si>
  <si>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</si>
  <si>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</si>
  <si>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</si>
  <si>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</si>
  <si>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</si>
  <si>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</si>
  <si>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</si>
  <si>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</si>
  <si>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</si>
  <si>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</si>
  <si>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</si>
  <si>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</si>
  <si>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</si>
  <si>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</si>
  <si>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</si>
  <si>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</si>
  <si>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</si>
  <si>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</si>
  <si>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</si>
  <si>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</si>
  <si>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</si>
  <si>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</si>
  <si>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</si>
  <si>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</si>
  <si>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</si>
  <si>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</si>
  <si>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</si>
  <si>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</si>
  <si>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</si>
  <si>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</si>
  <si>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</si>
  <si>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</si>
  <si>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</si>
  <si>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</si>
  <si>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</si>
  <si>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</si>
  <si>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</si>
  <si>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</si>
  <si>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</si>
  <si>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</si>
  <si>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</si>
  <si>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</si>
  <si>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</si>
  <si>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</si>
  <si>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</si>
  <si>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</si>
  <si>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</si>
  <si>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</si>
  <si>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</si>
  <si>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</si>
  <si>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</si>
  <si>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</si>
  <si>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</si>
  <si>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</si>
  <si>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</si>
  <si>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</si>
  <si>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</si>
  <si>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</si>
  <si>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</si>
  <si>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</si>
  <si>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</si>
  <si>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</si>
  <si>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</si>
  <si>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</si>
  <si>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</si>
  <si>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</si>
  <si>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</si>
  <si>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</si>
  <si>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</si>
  <si>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</si>
  <si>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</si>
  <si>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</si>
  <si>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</si>
  <si>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</si>
  <si>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</si>
  <si>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</si>
  <si>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</si>
  <si>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</si>
  <si>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</si>
  <si>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</si>
  <si>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</si>
  <si>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</si>
  <si>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</si>
  <si>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</si>
  <si>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</si>
  <si>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</si>
  <si>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</si>
  <si>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</si>
  <si>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</si>
  <si>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</si>
  <si>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</si>
  <si>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</si>
  <si>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</si>
  <si>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</si>
  <si>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</si>
  <si>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</si>
  <si>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</si>
  <si>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</si>
  <si>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</si>
  <si>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</si>
  <si>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</si>
  <si>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</si>
  <si>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</si>
  <si>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</si>
  <si>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</si>
  <si>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</si>
  <si>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</si>
  <si>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</si>
  <si>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</si>
  <si>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</si>
  <si>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</si>
  <si>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</si>
  <si>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</si>
  <si>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</si>
  <si>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</si>
  <si>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</si>
  <si>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</si>
  <si>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</si>
  <si>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</si>
  <si>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</si>
  <si>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</si>
  <si>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</si>
  <si>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</si>
  <si>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</si>
  <si>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</si>
  <si>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</si>
  <si>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</si>
  <si>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</si>
  <si>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</si>
  <si>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</si>
  <si>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</si>
  <si>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</si>
  <si>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</si>
  <si>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</si>
  <si>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</si>
  <si>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</si>
  <si>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</si>
  <si>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</si>
  <si>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</si>
  <si>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</si>
  <si>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</si>
  <si>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</si>
  <si>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</si>
  <si>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</si>
  <si>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</si>
  <si>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</si>
  <si>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</si>
  <si>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</si>
  <si>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</si>
  <si>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</si>
  <si>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</si>
  <si>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</si>
  <si>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</si>
  <si>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</si>
  <si>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</si>
  <si>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</si>
  <si>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</si>
  <si>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</si>
  <si>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</si>
  <si>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</si>
  <si>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</si>
  <si>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</si>
  <si>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</si>
  <si>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</si>
  <si>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</si>
  <si>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</si>
  <si>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</si>
  <si>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</si>
  <si>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</si>
  <si>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</si>
  <si>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</si>
  <si>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</si>
  <si>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</si>
  <si>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</si>
  <si>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</si>
  <si>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</si>
  <si>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</si>
  <si>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</si>
  <si>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</si>
  <si>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</si>
  <si>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</si>
  <si>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</si>
  <si>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</si>
  <si>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</si>
  <si>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</si>
  <si>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</si>
  <si>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</si>
  <si>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</si>
  <si>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</si>
  <si>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</si>
  <si>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</si>
  <si>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</si>
  <si>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</si>
  <si>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</si>
  <si>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</si>
  <si>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</si>
  <si>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</si>
  <si>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</si>
  <si>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</si>
  <si>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</si>
  <si>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</si>
  <si>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</si>
  <si>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</si>
  <si>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</si>
  <si>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</si>
  <si>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</si>
  <si>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</si>
  <si>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</si>
  <si>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</si>
  <si>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</si>
  <si>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</si>
  <si>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</si>
  <si>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</si>
  <si>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</si>
  <si>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</si>
  <si>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</si>
  <si>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</si>
  <si>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</si>
  <si>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</si>
  <si>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</si>
  <si>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</si>
  <si>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</si>
  <si>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</si>
  <si>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</si>
  <si>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</si>
  <si>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</si>
  <si>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</si>
  <si>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</si>
  <si>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</si>
  <si>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</si>
  <si>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</si>
  <si>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</si>
  <si>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</si>
  <si>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</si>
  <si>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</si>
  <si>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</si>
  <si>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</si>
  <si>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</si>
  <si>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</si>
  <si>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</si>
  <si>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</si>
  <si>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</si>
  <si>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</si>
  <si>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</si>
  <si>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</si>
  <si>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</si>
  <si>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</si>
  <si>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</si>
  <si>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</si>
  <si>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</si>
  <si>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</si>
  <si>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</si>
  <si>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</si>
  <si>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</si>
  <si>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</si>
  <si>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</si>
  <si>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</si>
  <si>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</si>
  <si>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</si>
  <si>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</si>
  <si>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</si>
  <si>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</si>
  <si>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</si>
  <si>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</si>
  <si>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</si>
  <si>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</si>
  <si>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</si>
  <si>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</si>
  <si>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</si>
  <si>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</si>
  <si>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</si>
  <si>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</si>
  <si>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</si>
  <si>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</si>
  <si>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</si>
  <si>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</si>
  <si>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</si>
  <si>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</si>
  <si>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</si>
  <si>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</si>
  <si>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</si>
  <si>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</si>
  <si>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</si>
  <si>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</si>
  <si>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</si>
  <si>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</si>
  <si>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</si>
  <si>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</si>
  <si>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</si>
  <si>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</si>
  <si>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</si>
  <si>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</si>
  <si>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</si>
  <si>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</si>
  <si>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</si>
  <si>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</si>
  <si>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</si>
  <si>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</si>
  <si>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</si>
  <si>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</si>
  <si>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</si>
  <si>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</si>
  <si>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</si>
  <si>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</si>
  <si>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</si>
  <si>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</si>
  <si>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</si>
  <si>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</si>
  <si>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</si>
  <si>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</si>
  <si>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</si>
  <si>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</si>
  <si>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</si>
  <si>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</si>
  <si>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</si>
  <si>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</si>
  <si>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</si>
  <si>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</si>
  <si>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</si>
  <si>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</si>
  <si>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</si>
  <si>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</si>
  <si>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</si>
  <si>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</si>
  <si>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</si>
  <si>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</si>
  <si>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</si>
  <si>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</si>
  <si>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</si>
  <si>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</si>
  <si>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</si>
  <si>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</si>
  <si>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</si>
  <si>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</si>
  <si>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</si>
  <si>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</si>
  <si>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</si>
  <si>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</si>
  <si>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</si>
  <si>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</si>
  <si>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</si>
  <si>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</si>
  <si>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</si>
  <si>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</si>
  <si>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</si>
  <si>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</si>
  <si>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</si>
  <si>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</si>
  <si>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</si>
  <si>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</si>
  <si>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</si>
  <si>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</si>
  <si>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</si>
  <si>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</si>
  <si>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</si>
  <si>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</si>
  <si>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</si>
  <si>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</si>
  <si>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</si>
  <si>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</si>
  <si>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</si>
  <si>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</si>
  <si>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</si>
  <si>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</si>
  <si>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</si>
  <si>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</si>
  <si>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</si>
  <si>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</si>
  <si>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</si>
  <si>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</si>
  <si>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</si>
  <si>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</si>
  <si>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</si>
  <si>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</si>
  <si>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</si>
  <si>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</si>
  <si>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</si>
  <si>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</si>
  <si>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</si>
  <si>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</si>
  <si>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</si>
  <si>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</si>
  <si>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</si>
  <si>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</si>
  <si>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</si>
  <si>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</si>
  <si>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</si>
  <si>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</si>
  <si>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</si>
  <si>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</si>
  <si>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</si>
  <si>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</si>
  <si>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</si>
  <si>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</si>
  <si>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</si>
  <si>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</si>
  <si>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</si>
  <si>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</si>
  <si>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</si>
  <si>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</si>
  <si>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</si>
  <si>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</si>
  <si>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</si>
  <si>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</si>
  <si>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</si>
  <si>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</si>
  <si>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</si>
  <si>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</si>
  <si>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</si>
  <si>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</si>
  <si>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</si>
  <si>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</si>
  <si>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</si>
  <si>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</si>
  <si>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</si>
  <si>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</si>
  <si>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</si>
  <si>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</si>
  <si>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</si>
  <si>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</si>
  <si>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</si>
  <si>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</si>
  <si>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</si>
  <si>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</si>
  <si>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</si>
  <si>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</si>
  <si>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</si>
  <si>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</si>
  <si>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</si>
  <si>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</si>
  <si>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</si>
  <si>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</si>
  <si>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</si>
  <si>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</si>
  <si>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</si>
  <si>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</si>
  <si>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</si>
  <si>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</si>
  <si>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</si>
  <si>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</si>
  <si>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</si>
  <si>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</si>
  <si>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</si>
  <si>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</si>
  <si>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</si>
  <si>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</si>
  <si>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</si>
  <si>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</si>
  <si>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</si>
  <si>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</si>
  <si>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</si>
  <si>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</si>
  <si>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</si>
  <si>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</si>
  <si>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</si>
  <si>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</si>
  <si>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</si>
  <si>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</si>
  <si>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</si>
  <si>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</si>
  <si>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</si>
  <si>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</si>
  <si>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</si>
  <si>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</si>
  <si>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</si>
  <si>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</si>
  <si>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</si>
  <si>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</si>
  <si>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</si>
  <si>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</si>
  <si>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</si>
  <si>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</si>
  <si>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</si>
  <si>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</si>
  <si>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</si>
  <si>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</si>
  <si>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</si>
  <si>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</si>
  <si>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</si>
  <si>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</si>
  <si>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</si>
  <si>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</si>
  <si>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</si>
  <si>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</si>
  <si>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</si>
  <si>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</si>
  <si>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</si>
  <si>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</si>
  <si>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</si>
  <si>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</si>
  <si>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</si>
  <si>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</si>
  <si>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</si>
  <si>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</si>
  <si>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</si>
  <si>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</si>
  <si>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</si>
  <si>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</si>
  <si>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</si>
  <si>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</si>
  <si>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</si>
  <si>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</si>
  <si>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</si>
  <si>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</si>
  <si>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</si>
  <si>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</si>
  <si>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</si>
  <si>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</si>
  <si>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</si>
  <si>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</si>
  <si>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</si>
  <si>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</si>
  <si>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</si>
  <si>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</si>
  <si>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</si>
  <si>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</si>
  <si>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</si>
  <si>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</si>
  <si>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</si>
  <si>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</si>
  <si>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</si>
  <si>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</si>
  <si>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</si>
  <si>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</si>
  <si>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</si>
  <si>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</si>
  <si>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</si>
  <si>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</si>
  <si>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</si>
  <si>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</si>
  <si>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</si>
  <si>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</si>
  <si>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</si>
  <si>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</si>
  <si>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</si>
  <si>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</si>
  <si>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</si>
  <si>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</si>
  <si>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</si>
  <si>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</si>
  <si>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</si>
  <si>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</si>
  <si>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</si>
  <si>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</si>
  <si>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</si>
  <si>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</si>
  <si>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</si>
  <si>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</si>
  <si>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</si>
  <si>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</si>
  <si>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</si>
  <si>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</si>
  <si>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</si>
  <si>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</si>
  <si>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</si>
  <si>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</si>
  <si>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</si>
  <si>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</si>
  <si>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</si>
  <si>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</si>
  <si>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</si>
  <si>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</si>
  <si>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</si>
  <si>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</si>
  <si>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</si>
  <si>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</si>
  <si>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</si>
  <si>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</si>
  <si>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</si>
  <si>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</si>
  <si>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</si>
  <si>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</si>
  <si>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</si>
  <si>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</si>
  <si>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</si>
  <si>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</si>
  <si>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</si>
  <si>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</si>
  <si>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</si>
  <si>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</si>
  <si>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</si>
  <si>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</si>
  <si>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</si>
  <si>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</si>
  <si>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</si>
  <si>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</si>
  <si>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</si>
  <si>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</si>
  <si>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</si>
  <si>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</si>
  <si>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</si>
  <si>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</si>
  <si>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</si>
  <si>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</si>
  <si>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</si>
  <si>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</si>
  <si>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</si>
  <si>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</si>
  <si>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</si>
  <si>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</si>
  <si>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</si>
  <si>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</si>
  <si>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</si>
  <si>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</si>
  <si>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</si>
  <si>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</si>
  <si>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</si>
  <si>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</si>
  <si>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</si>
  <si>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</si>
  <si>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</si>
  <si>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</si>
  <si>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</si>
  <si>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</si>
  <si>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</si>
  <si>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</si>
  <si>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</si>
  <si>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</si>
  <si>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</si>
  <si>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</si>
  <si>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</si>
  <si>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</si>
  <si>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</si>
  <si>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</si>
  <si>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</si>
  <si>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</si>
  <si>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</si>
  <si>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</si>
  <si>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</si>
  <si>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</si>
  <si>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</si>
  <si>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</si>
  <si>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</si>
  <si>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</si>
  <si>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</si>
  <si>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</si>
  <si>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</si>
  <si>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</si>
  <si>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</si>
  <si>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</si>
  <si>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</si>
  <si>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</si>
  <si>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</si>
  <si>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</si>
  <si>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</si>
  <si>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</si>
  <si>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</si>
  <si>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</si>
  <si>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</si>
  <si>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</si>
  <si>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</si>
  <si>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</si>
  <si>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</si>
  <si>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</si>
  <si>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</si>
  <si>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</si>
  <si>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</si>
  <si>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</si>
  <si>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</si>
  <si>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</si>
  <si>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</si>
  <si>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</si>
  <si>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</si>
  <si>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</si>
  <si>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</si>
  <si>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</si>
  <si>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</si>
  <si>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</si>
  <si>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</si>
  <si>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</si>
  <si>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</si>
  <si>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</si>
  <si>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</si>
  <si>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</si>
  <si>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</si>
  <si>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</si>
  <si>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</si>
  <si>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</si>
  <si>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</si>
  <si>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</si>
  <si>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</si>
  <si>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</si>
  <si>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</si>
  <si>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</si>
  <si>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</si>
  <si>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</si>
  <si>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</si>
  <si>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</si>
  <si>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</si>
  <si>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</si>
  <si>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</si>
  <si>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</si>
  <si>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</si>
  <si>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</si>
  <si>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</si>
  <si>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</si>
  <si>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</si>
  <si>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</si>
  <si>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</si>
  <si>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</si>
  <si>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</si>
  <si>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</si>
  <si>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</si>
  <si>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</si>
  <si>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</si>
  <si>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</si>
  <si>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</si>
  <si>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</si>
  <si>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</si>
  <si>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</si>
  <si>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</si>
  <si>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</si>
  <si>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</si>
  <si>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</si>
  <si>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</si>
  <si>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</si>
  <si>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</si>
  <si>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</si>
  <si>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</si>
  <si>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</si>
  <si>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</si>
  <si>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</si>
  <si>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</si>
  <si>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</si>
  <si>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</si>
  <si>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</si>
  <si>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</si>
  <si>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</si>
  <si>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</si>
  <si>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</si>
  <si>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</si>
  <si>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</si>
  <si>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</si>
  <si>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</si>
  <si>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</si>
  <si>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</si>
  <si>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</si>
  <si>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</si>
  <si>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</si>
  <si>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</si>
  <si>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</si>
  <si>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</si>
  <si>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</si>
  <si>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</si>
  <si>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</si>
  <si>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</si>
  <si>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</si>
  <si>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</si>
  <si>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</si>
  <si>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</si>
  <si>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</si>
  <si>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</si>
  <si>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</si>
  <si>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</si>
  <si>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</si>
  <si>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</si>
  <si>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</si>
  <si>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</si>
  <si>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</si>
  <si>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</si>
  <si>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</si>
  <si>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</si>
  <si>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</si>
  <si>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</si>
  <si>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</si>
  <si>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</si>
  <si>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</si>
  <si>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</si>
  <si>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</si>
  <si>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</si>
  <si>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</si>
  <si>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</si>
  <si>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</si>
  <si>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</si>
  <si>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</si>
  <si>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</si>
  <si>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</si>
  <si>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</si>
  <si>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</si>
  <si>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</si>
  <si>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</si>
  <si>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</si>
  <si>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</si>
  <si>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</si>
  <si>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</si>
  <si>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</si>
  <si>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</si>
  <si>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</si>
  <si>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</si>
  <si>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</si>
  <si>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</si>
  <si>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</si>
  <si>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</si>
  <si>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</si>
  <si>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</si>
  <si>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</si>
  <si>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</si>
  <si>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</si>
  <si>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</si>
  <si>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</si>
  <si>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</si>
  <si>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</si>
  <si>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</si>
  <si>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</si>
  <si>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</si>
  <si>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</si>
  <si>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</si>
  <si>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</si>
  <si>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</si>
  <si>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</si>
  <si>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</si>
  <si>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</si>
  <si>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</si>
  <si>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</si>
  <si>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</si>
  <si>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</si>
  <si>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</si>
  <si>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</si>
  <si>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</si>
  <si>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</si>
  <si>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</si>
  <si>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</si>
  <si>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</si>
  <si>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</si>
  <si>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</si>
  <si>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</si>
  <si>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</si>
  <si>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</si>
  <si>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</si>
  <si>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</si>
  <si>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</si>
  <si>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</si>
  <si>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</si>
  <si>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</si>
  <si>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</si>
  <si>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</si>
  <si>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</si>
  <si>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</si>
  <si>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</si>
  <si>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</si>
  <si>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</si>
  <si>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</si>
  <si>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</si>
  <si>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</si>
  <si>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</si>
  <si>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</si>
  <si>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</si>
  <si>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</si>
  <si>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</si>
  <si>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</si>
  <si>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</si>
  <si>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</si>
  <si>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</si>
  <si>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</si>
  <si>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</si>
  <si>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</si>
  <si>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</si>
  <si>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</si>
  <si>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</si>
  <si>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</si>
  <si>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</si>
  <si>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</si>
  <si>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</si>
  <si>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</si>
  <si>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</si>
  <si>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</si>
  <si>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</si>
  <si>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</si>
  <si>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</si>
  <si>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</si>
  <si>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</si>
  <si>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</si>
  <si>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</si>
  <si>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</si>
  <si>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</si>
  <si>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</si>
  <si>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</si>
  <si>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</si>
  <si>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</si>
  <si>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</si>
  <si>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</si>
  <si>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</si>
  <si>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</si>
  <si>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</si>
  <si>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</si>
  <si>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</si>
  <si>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</si>
  <si>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</si>
  <si>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</si>
  <si>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</si>
  <si>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</si>
  <si>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</si>
  <si>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</si>
  <si>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</si>
  <si>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</si>
  <si>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</si>
  <si>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</si>
  <si>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</si>
  <si>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</si>
  <si>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</si>
  <si>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</si>
  <si>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</si>
  <si>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</si>
  <si>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</si>
  <si>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</si>
  <si>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</si>
  <si>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</si>
  <si>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</si>
  <si>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</si>
  <si>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</si>
  <si>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</si>
  <si>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</si>
  <si>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</si>
  <si>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</si>
  <si>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</si>
  <si>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</si>
  <si>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</si>
  <si>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</si>
  <si>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</si>
  <si>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</si>
  <si>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</si>
  <si>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</si>
  <si>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</si>
  <si>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</si>
  <si>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</si>
  <si>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</si>
  <si>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</si>
  <si>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</si>
  <si>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</si>
  <si>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</si>
  <si>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</si>
  <si>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</si>
  <si>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</si>
  <si>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</si>
  <si>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</si>
  <si>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</si>
  <si>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</si>
  <si>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</si>
  <si>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</si>
  <si>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</si>
  <si>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</si>
  <si>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</si>
  <si>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</si>
  <si>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</si>
  <si>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</si>
  <si>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</si>
  <si>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</si>
  <si>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</si>
  <si>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</si>
  <si>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</si>
  <si>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</si>
  <si>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</si>
  <si>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</si>
  <si>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</si>
  <si>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</si>
  <si>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</si>
  <si>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</si>
  <si>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</si>
  <si>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</si>
  <si>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</si>
  <si>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</si>
  <si>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</si>
  <si>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</si>
  <si>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</si>
  <si>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</si>
  <si>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</si>
  <si>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</si>
  <si>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</si>
  <si>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</si>
  <si>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</si>
  <si>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</si>
  <si>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</si>
  <si>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</si>
  <si>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</si>
  <si>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</si>
  <si>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</si>
  <si>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</si>
  <si>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</si>
  <si>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</si>
  <si>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</si>
  <si>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</si>
  <si>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</si>
  <si>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</si>
  <si>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</si>
  <si>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</si>
  <si>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</si>
  <si>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</si>
  <si>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</si>
  <si>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</si>
  <si>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</si>
  <si>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</si>
  <si>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</si>
  <si>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</si>
  <si>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</si>
  <si>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</si>
  <si>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</si>
  <si>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</si>
  <si>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</si>
  <si>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</si>
  <si>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</si>
  <si>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</si>
  <si>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</si>
  <si>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</si>
  <si>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</si>
  <si>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</si>
  <si>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</si>
  <si>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</si>
  <si>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</si>
  <si>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</si>
  <si>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</si>
  <si>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</si>
  <si>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</si>
  <si>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</si>
  <si>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</si>
  <si>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</si>
  <si>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</si>
  <si>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</si>
  <si>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</si>
  <si>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</si>
  <si>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</si>
  <si>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</si>
  <si>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</si>
  <si>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</si>
  <si>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</si>
  <si>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</si>
  <si>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</si>
  <si>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</si>
  <si>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</si>
  <si>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</si>
  <si>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</si>
  <si>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</si>
  <si>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</si>
  <si>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</si>
  <si>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</si>
  <si>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</si>
  <si>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</si>
  <si>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</si>
  <si>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</si>
  <si>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</si>
  <si>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</si>
  <si>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</si>
  <si>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</si>
  <si>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</si>
  <si>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</si>
  <si>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</si>
  <si>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</si>
  <si>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</si>
  <si>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</si>
  <si>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</si>
  <si>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</si>
  <si>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</si>
  <si>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</si>
  <si>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</si>
  <si>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</si>
  <si>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</si>
  <si>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</si>
  <si>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</si>
  <si>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</si>
  <si>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</si>
  <si>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</si>
  <si>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</si>
  <si>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</si>
  <si>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</si>
  <si>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</si>
  <si>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</si>
  <si>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</si>
  <si>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</si>
  <si>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</si>
  <si>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</si>
  <si>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</si>
  <si>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</si>
  <si>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</si>
  <si>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</si>
  <si>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</si>
  <si>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</si>
  <si>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</si>
  <si>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</si>
  <si>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</si>
  <si>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</si>
  <si>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</si>
  <si>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</si>
  <si>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</si>
  <si>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</si>
  <si>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</si>
  <si>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</si>
  <si>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</si>
  <si>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</si>
  <si>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</si>
  <si>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</si>
  <si>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</si>
  <si>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</si>
  <si>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</si>
  <si>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</si>
  <si>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</si>
  <si>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</si>
  <si>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</si>
  <si>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</si>
  <si>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</si>
  <si>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</si>
  <si>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</si>
  <si>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</si>
  <si>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</si>
  <si>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</si>
  <si>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</si>
  <si>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</si>
  <si>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</si>
  <si>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</si>
  <si>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</si>
  <si>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</si>
  <si>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</si>
  <si>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</si>
  <si>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</si>
  <si>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</si>
  <si>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</si>
  <si>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</si>
  <si>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</si>
  <si>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</si>
  <si>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</si>
  <si>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</si>
  <si>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</si>
  <si>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</si>
  <si>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</si>
  <si>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</si>
  <si>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</si>
  <si>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</si>
  <si>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</si>
  <si>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</si>
  <si>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</si>
  <si>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</si>
  <si>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</si>
  <si>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</si>
  <si>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</si>
  <si>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</si>
  <si>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</si>
  <si>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</si>
  <si>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</si>
  <si>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</si>
  <si>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</si>
  <si>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</si>
  <si>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</si>
  <si>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</si>
  <si>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</si>
  <si>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</si>
  <si>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</si>
  <si>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</si>
  <si>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</si>
  <si>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</si>
  <si>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</si>
  <si>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</si>
  <si>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</si>
  <si>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</si>
  <si>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</si>
  <si>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</si>
  <si>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</si>
  <si>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</si>
  <si>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</si>
  <si>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</si>
  <si>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</si>
  <si>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</si>
  <si>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</si>
  <si>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</si>
  <si>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</si>
  <si>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</si>
  <si>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</si>
  <si>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</si>
  <si>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</si>
  <si>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</si>
  <si>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</si>
  <si>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</si>
  <si>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</si>
  <si>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</si>
  <si>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</si>
  <si>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</si>
  <si>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</si>
  <si>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</si>
  <si>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</si>
  <si>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</si>
  <si>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</si>
  <si>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</si>
  <si>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</si>
  <si>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</si>
  <si>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</si>
  <si>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</si>
  <si>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</si>
  <si>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</si>
  <si>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</si>
  <si>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</si>
  <si>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</si>
  <si>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</si>
  <si>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</si>
  <si>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</si>
  <si>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</si>
  <si>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</si>
  <si>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</si>
  <si>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</si>
  <si>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</si>
  <si>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</si>
  <si>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</si>
  <si>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</si>
  <si>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</si>
  <si>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</si>
  <si>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</si>
  <si>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</si>
  <si>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</si>
  <si>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</si>
  <si>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</si>
  <si>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</si>
  <si>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</si>
  <si>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</si>
  <si>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</si>
  <si>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</si>
  <si>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</si>
  <si>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</si>
  <si>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</si>
  <si>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</si>
  <si>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</si>
  <si>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</si>
  <si>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</si>
  <si>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</si>
  <si>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</si>
  <si>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</si>
  <si>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</si>
  <si>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</si>
  <si>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</si>
  <si>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</si>
  <si>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</si>
  <si>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</si>
  <si>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</si>
  <si>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</si>
  <si>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</si>
  <si>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</si>
  <si>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</si>
  <si>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</si>
  <si>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</si>
  <si>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</si>
  <si>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</si>
  <si>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</si>
  <si>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</si>
  <si>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</si>
  <si>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</si>
  <si>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</si>
  <si>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</si>
  <si>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</si>
  <si>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</si>
  <si>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</si>
  <si>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</si>
  <si>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</si>
  <si>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</si>
  <si>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</si>
  <si>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</si>
  <si>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</si>
  <si>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</si>
  <si>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</si>
  <si>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</si>
  <si>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</si>
  <si>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</si>
  <si>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</si>
  <si>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</si>
  <si>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</si>
  <si>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</si>
  <si>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</si>
  <si>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</si>
  <si>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</si>
  <si>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</si>
  <si>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</si>
  <si>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</si>
  <si>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</si>
  <si>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</si>
  <si>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</si>
  <si>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</si>
  <si>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</si>
  <si>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</si>
  <si>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</si>
  <si>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</si>
  <si>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</si>
  <si>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</si>
  <si>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</si>
  <si>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</si>
  <si>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</si>
  <si>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</si>
  <si>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</si>
  <si>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</si>
  <si>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</si>
  <si>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</si>
  <si>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</si>
  <si>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</si>
  <si>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</si>
  <si>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</si>
  <si>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</si>
  <si>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</si>
  <si>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</si>
  <si>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</si>
  <si>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</si>
  <si>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</si>
  <si>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</si>
  <si>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</si>
  <si>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</si>
  <si>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</si>
  <si>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</si>
  <si>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</si>
  <si>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</si>
  <si>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</si>
  <si>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</si>
  <si>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</si>
  <si>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</si>
  <si>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</si>
  <si>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</si>
  <si>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</si>
  <si>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</si>
  <si>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</si>
  <si>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</si>
  <si>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</si>
  <si>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</si>
  <si>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</si>
  <si>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</si>
  <si>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</si>
  <si>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</si>
  <si>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</si>
  <si>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</si>
  <si>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</si>
  <si>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</si>
  <si>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</si>
  <si>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</si>
  <si>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</si>
  <si>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</si>
  <si>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</si>
  <si>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</si>
  <si>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</si>
  <si>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</si>
  <si>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</si>
  <si>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</si>
  <si>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</si>
  <si>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</si>
  <si>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</si>
  <si>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</si>
  <si>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</si>
  <si>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</si>
  <si>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</si>
  <si>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</si>
  <si>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</si>
  <si>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</si>
  <si>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</si>
  <si>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</si>
  <si>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</si>
  <si>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</si>
  <si>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</si>
  <si>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</si>
  <si>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</si>
  <si>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</si>
  <si>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</si>
  <si>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</si>
  <si>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</si>
  <si>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</si>
  <si>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</si>
  <si>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</si>
  <si>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</si>
  <si>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</si>
  <si>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</si>
  <si>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</si>
  <si>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</si>
  <si>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</si>
  <si>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</si>
  <si>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</si>
  <si>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</si>
  <si>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</si>
  <si>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</si>
  <si>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</si>
  <si>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</si>
  <si>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</si>
  <si>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</si>
  <si>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</si>
  <si>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</si>
  <si>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</si>
  <si>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</si>
  <si>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</si>
  <si>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</si>
  <si>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</si>
  <si>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</si>
  <si>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</si>
  <si>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</si>
  <si>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</si>
  <si>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</si>
  <si>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</si>
  <si>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</si>
  <si>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</si>
  <si>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</si>
  <si>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</si>
  <si>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</si>
  <si>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</si>
  <si>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</si>
  <si>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</si>
  <si>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</si>
  <si>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</si>
  <si>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</si>
  <si>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</si>
  <si>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</si>
  <si>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</si>
  <si>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</si>
  <si>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</si>
  <si>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</si>
  <si>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</si>
  <si>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</si>
  <si>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</si>
  <si>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</si>
  <si>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</si>
  <si>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</si>
  <si>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</si>
  <si>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</si>
  <si>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</si>
  <si>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</si>
  <si>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</si>
  <si>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</si>
  <si>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</si>
  <si>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</si>
  <si>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</si>
  <si>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</si>
  <si>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</si>
  <si>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</si>
  <si>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</si>
  <si>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</si>
  <si>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</si>
  <si>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</si>
  <si>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</si>
  <si>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</si>
  <si>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</si>
  <si>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</si>
  <si>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</si>
  <si>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</si>
  <si>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</si>
  <si>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</si>
  <si>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</si>
  <si>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</si>
  <si>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</si>
  <si>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</si>
  <si>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</si>
  <si>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</si>
  <si>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</si>
  <si>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</si>
  <si>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</si>
  <si>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</si>
  <si>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</si>
  <si>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</si>
  <si>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</si>
  <si>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</si>
  <si>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</si>
  <si>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</si>
  <si>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</si>
  <si>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</si>
  <si>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</si>
  <si>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</si>
  <si>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</si>
  <si>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</si>
  <si>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</si>
  <si>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</si>
  <si>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</si>
  <si>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</si>
  <si>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</si>
  <si>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</si>
  <si>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</si>
  <si>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</si>
  <si>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</si>
  <si>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</si>
  <si>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</si>
  <si>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</si>
  <si>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</si>
  <si>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</si>
  <si>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</si>
  <si>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</si>
  <si>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</si>
  <si>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</si>
  <si>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</si>
  <si>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</si>
  <si>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</si>
  <si>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</si>
  <si>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</si>
  <si>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</si>
  <si>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</si>
  <si>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</si>
  <si>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</si>
  <si>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</si>
  <si>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</si>
  <si>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</si>
  <si>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</si>
  <si>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</si>
  <si>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</si>
  <si>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</si>
  <si>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</si>
  <si>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</si>
  <si>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</si>
  <si>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</si>
  <si>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</si>
  <si>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</si>
  <si>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</si>
  <si>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</si>
  <si>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</si>
  <si>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</si>
  <si>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</si>
  <si>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</si>
  <si>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</si>
  <si>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</si>
  <si>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</si>
  <si>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</si>
  <si>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</si>
  <si>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</si>
  <si>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</si>
  <si>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</si>
  <si>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</si>
  <si>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</si>
  <si>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</si>
  <si>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</si>
  <si>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</si>
  <si>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</si>
  <si>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</si>
  <si>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</si>
  <si>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</si>
  <si>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</si>
  <si>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</si>
  <si>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</si>
  <si>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</si>
  <si>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</si>
  <si>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</si>
  <si>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</si>
  <si>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</si>
  <si>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</si>
  <si>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</si>
  <si>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</si>
  <si>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</si>
  <si>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</si>
  <si>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</si>
  <si>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</si>
  <si>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</si>
  <si>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</si>
  <si>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</si>
  <si>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</si>
  <si>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</si>
  <si>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</si>
  <si>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</si>
  <si>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</si>
  <si>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</si>
  <si>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</si>
  <si>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</si>
  <si>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</si>
  <si>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</si>
  <si>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</si>
  <si>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</si>
  <si>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</si>
  <si>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</si>
  <si>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</si>
  <si>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</si>
  <si>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</si>
  <si>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</si>
  <si>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</si>
  <si>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</si>
  <si>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</si>
  <si>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</si>
  <si>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</si>
  <si>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</si>
  <si>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</si>
  <si>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</si>
  <si>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</si>
  <si>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</si>
  <si>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</si>
  <si>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</si>
  <si>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</si>
  <si>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</si>
  <si>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</si>
  <si>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</si>
  <si>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</si>
  <si>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</si>
  <si>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</si>
  <si>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</si>
  <si>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</si>
  <si>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</si>
  <si>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</si>
  <si>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</si>
  <si>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</si>
  <si>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</si>
  <si>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</si>
  <si>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</si>
  <si>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</si>
  <si>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</si>
  <si>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</si>
  <si>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</si>
  <si>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</si>
  <si>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</si>
  <si>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</si>
  <si>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</si>
  <si>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</si>
  <si>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</si>
  <si>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</si>
  <si>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</si>
  <si>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</si>
  <si>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</si>
  <si>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</si>
  <si>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</si>
  <si>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</si>
  <si>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</si>
  <si>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</si>
  <si>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</si>
  <si>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</si>
  <si>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</si>
  <si>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</si>
  <si>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</si>
  <si>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</si>
  <si>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</si>
  <si>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</si>
  <si>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</si>
  <si>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</si>
  <si>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</si>
  <si>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</si>
  <si>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</si>
  <si>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</si>
  <si>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</si>
  <si>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</si>
  <si>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</si>
  <si>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</si>
  <si>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</si>
  <si>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</si>
  <si>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</si>
  <si>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</si>
  <si>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</si>
  <si>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</si>
  <si>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</si>
  <si>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</si>
  <si>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</si>
  <si>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</si>
  <si>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</si>
  <si>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</si>
  <si>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</si>
  <si>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</si>
  <si>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</si>
  <si>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</si>
  <si>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</si>
  <si>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</si>
  <si>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</si>
  <si>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</si>
  <si>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</si>
  <si>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</si>
  <si>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</si>
  <si>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</si>
  <si>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</si>
  <si>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</si>
  <si>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</si>
  <si>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</si>
  <si>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</si>
  <si>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</si>
  <si>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</si>
  <si>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</si>
  <si>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</si>
  <si>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</si>
  <si>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</si>
  <si>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</si>
  <si>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</si>
  <si>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</si>
  <si>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</si>
  <si>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</si>
  <si>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</si>
  <si>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</si>
  <si>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</si>
  <si>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</si>
  <si>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</si>
  <si>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</si>
  <si>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</si>
  <si>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</si>
  <si>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</si>
  <si>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</si>
  <si>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</si>
  <si>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</si>
  <si>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</si>
  <si>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</si>
  <si>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</si>
  <si>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</si>
  <si>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</si>
  <si>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</si>
  <si>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</si>
  <si>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</si>
  <si>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</si>
  <si>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</si>
  <si>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</si>
  <si>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</si>
  <si>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</si>
  <si>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</si>
  <si>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</si>
  <si>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</si>
  <si>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</si>
  <si>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</si>
  <si>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</si>
  <si>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</si>
  <si>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</si>
  <si>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</si>
  <si>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</si>
  <si>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</si>
  <si>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</si>
  <si>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</si>
  <si>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</si>
  <si>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</si>
  <si>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</si>
  <si>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</si>
  <si>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</si>
  <si>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</si>
  <si>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</si>
  <si>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</si>
  <si>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</si>
  <si>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</si>
  <si>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</si>
  <si>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</si>
  <si>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</si>
  <si>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</si>
  <si>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</si>
  <si>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</si>
  <si>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</si>
  <si>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</si>
  <si>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</si>
  <si>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</si>
  <si>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</si>
  <si>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</si>
  <si>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</si>
  <si>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</si>
  <si>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</si>
  <si>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</si>
  <si>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</si>
  <si>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</si>
  <si>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</si>
  <si>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</si>
  <si>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</si>
  <si>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</si>
  <si>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</si>
  <si>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</si>
  <si>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</si>
  <si>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</si>
  <si>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</si>
  <si>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</si>
  <si>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</si>
  <si>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</si>
  <si>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</si>
  <si>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</si>
  <si>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</si>
  <si>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</si>
  <si>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</si>
  <si>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</si>
  <si>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</si>
  <si>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</si>
  <si>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</si>
  <si>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</si>
  <si>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</si>
  <si>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</si>
  <si>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</si>
  <si>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</si>
  <si>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</si>
  <si>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</si>
  <si>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</si>
  <si>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</si>
  <si>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</si>
  <si>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</si>
  <si>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</si>
  <si>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</si>
  <si>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</si>
  <si>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</si>
  <si>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</si>
  <si>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</si>
  <si>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</si>
  <si>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</si>
  <si>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</si>
  <si>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</si>
  <si>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</si>
  <si>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</si>
  <si>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</si>
  <si>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</si>
  <si>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</si>
  <si>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</si>
  <si>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</si>
  <si>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</si>
  <si>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</si>
  <si>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</si>
  <si>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</si>
  <si>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</si>
  <si>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</si>
  <si>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</si>
  <si>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</si>
  <si>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</si>
  <si>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</si>
  <si>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</si>
  <si>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</si>
  <si>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</si>
  <si>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</si>
  <si>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</si>
  <si>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</si>
  <si>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</si>
  <si>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</si>
  <si>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</si>
  <si>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</si>
  <si>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</si>
  <si>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</si>
  <si>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</si>
  <si>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</si>
  <si>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</si>
  <si>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</si>
  <si>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</si>
  <si>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</si>
  <si>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</si>
  <si>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</si>
  <si>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</si>
  <si>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</si>
  <si>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</si>
  <si>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</si>
  <si>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</si>
  <si>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</si>
  <si>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</si>
  <si>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</si>
  <si>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</si>
  <si>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</si>
  <si>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</si>
  <si>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</si>
  <si>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</si>
  <si>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</si>
  <si>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</si>
  <si>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</si>
  <si>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</si>
  <si>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</si>
  <si>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</si>
  <si>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</si>
  <si>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</si>
  <si>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</si>
  <si>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</si>
  <si>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</si>
  <si>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</si>
  <si>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</si>
  <si>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</si>
  <si>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</si>
  <si>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</si>
  <si>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</si>
  <si>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</si>
  <si>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</si>
  <si>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</si>
  <si>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</si>
  <si>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</si>
  <si>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</si>
  <si>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</si>
  <si>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</si>
  <si>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</si>
  <si>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</si>
  <si>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</si>
  <si>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</si>
  <si>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</si>
  <si>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</si>
  <si>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</si>
  <si>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</si>
  <si>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</si>
  <si>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</si>
  <si>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</si>
  <si>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</si>
  <si>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</si>
  <si>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</si>
  <si>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</si>
  <si>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</si>
  <si>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</si>
  <si>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</si>
  <si>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</si>
  <si>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</si>
  <si>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</si>
  <si>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</si>
  <si>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</si>
  <si>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</si>
  <si>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</si>
  <si>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</si>
  <si>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</si>
  <si>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</si>
  <si>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</si>
  <si>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</si>
  <si>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</si>
  <si>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</si>
  <si>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</si>
  <si>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</si>
  <si>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</si>
  <si>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</si>
  <si>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</si>
  <si>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</si>
  <si>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</si>
  <si>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</si>
  <si>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</si>
  <si>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</si>
  <si>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</si>
  <si>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</si>
  <si>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</si>
  <si>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</si>
  <si>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</si>
  <si>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</si>
  <si>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</si>
  <si>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</si>
  <si>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</si>
  <si>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</si>
  <si>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</si>
  <si>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</si>
  <si>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</si>
  <si>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</si>
  <si>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</si>
  <si>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</si>
  <si>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</si>
  <si>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</si>
  <si>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</si>
  <si>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</si>
  <si>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</si>
  <si>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</si>
  <si>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</si>
  <si>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</si>
  <si>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</si>
  <si>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</si>
  <si>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</si>
  <si>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</si>
  <si>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</si>
  <si>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</si>
  <si>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</si>
  <si>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</si>
  <si>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</si>
  <si>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</si>
  <si>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</si>
  <si>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</si>
  <si>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</si>
  <si>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</si>
  <si>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</si>
  <si>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</si>
  <si>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</si>
  <si>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</si>
  <si>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</si>
  <si>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</si>
  <si>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</si>
  <si>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</si>
  <si>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</si>
  <si>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</si>
  <si>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</si>
  <si>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</si>
  <si>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</si>
  <si>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</si>
  <si>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</si>
  <si>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</si>
  <si>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</si>
  <si>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</si>
  <si>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</si>
  <si>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</si>
  <si>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</si>
  <si>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</si>
  <si>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</si>
  <si>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</si>
  <si>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</si>
  <si>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</si>
  <si>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</si>
  <si>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</si>
  <si>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</si>
  <si>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</si>
  <si>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</si>
  <si>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</si>
  <si>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</si>
  <si>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</si>
  <si>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</si>
  <si>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</si>
  <si>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</si>
  <si>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</si>
  <si>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</si>
  <si>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</si>
  <si>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</si>
  <si>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</si>
  <si>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</si>
  <si>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</si>
  <si>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</si>
  <si>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</si>
  <si>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</si>
  <si>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</si>
  <si>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</si>
  <si>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</si>
  <si>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</si>
  <si>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</si>
  <si>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</si>
  <si>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</si>
  <si>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</si>
  <si>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</si>
  <si>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</si>
  <si>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</si>
  <si>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</si>
  <si>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</si>
  <si>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</si>
  <si>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</si>
  <si>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</si>
  <si>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</si>
  <si>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</si>
  <si>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</si>
  <si>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</si>
  <si>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</si>
  <si>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</si>
  <si>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</si>
  <si>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</si>
  <si>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</si>
  <si>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</si>
  <si>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</si>
  <si>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</si>
  <si>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</si>
  <si>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</si>
  <si>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</si>
  <si>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</si>
  <si>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</si>
  <si>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</si>
  <si>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</si>
  <si>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</si>
  <si>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</si>
  <si>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</si>
  <si>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</si>
  <si>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</si>
  <si>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</si>
  <si>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</si>
  <si>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</si>
  <si>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</si>
  <si>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</si>
  <si>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</si>
  <si>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</si>
  <si>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</si>
  <si>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</si>
  <si>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</si>
  <si>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</si>
  <si>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</si>
  <si>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</si>
  <si>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</si>
  <si>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</si>
  <si>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</si>
  <si>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</si>
  <si>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</si>
  <si>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</si>
  <si>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</si>
  <si>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</si>
  <si>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</si>
  <si>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</si>
  <si>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</si>
  <si>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</si>
  <si>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</si>
  <si>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</si>
  <si>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</si>
  <si>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</si>
  <si>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</si>
  <si>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</si>
  <si>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</si>
  <si>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</si>
  <si>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</si>
  <si>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</si>
  <si>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</si>
  <si>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</si>
  <si>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</si>
  <si>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</si>
  <si>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</si>
  <si>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</si>
  <si>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</si>
  <si>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</si>
  <si>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</si>
  <si>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</si>
  <si>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</si>
  <si>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</si>
  <si>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</si>
  <si>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</si>
  <si>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</si>
  <si>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</si>
  <si>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</si>
  <si>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</si>
  <si>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</si>
  <si>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</si>
  <si>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</si>
  <si>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</si>
  <si>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</si>
  <si>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</si>
  <si>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</si>
  <si>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</si>
  <si>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</si>
  <si>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</si>
  <si>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</si>
  <si>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</si>
  <si>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</si>
  <si>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</si>
  <si>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</si>
  <si>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</si>
  <si>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</si>
  <si>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</si>
  <si>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</si>
  <si>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</si>
  <si>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</si>
  <si>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</si>
  <si>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</si>
  <si>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</si>
  <si>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</si>
  <si>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</si>
  <si>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</si>
  <si>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</si>
  <si>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</si>
  <si>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</si>
  <si>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</si>
  <si>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</si>
  <si>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</si>
  <si>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</si>
  <si>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</si>
  <si>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</si>
  <si>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</si>
  <si>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</si>
  <si>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</si>
  <si>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</si>
  <si>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</si>
  <si>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</si>
  <si>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</si>
  <si>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</si>
  <si>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</si>
  <si>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</si>
  <si>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</si>
  <si>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</si>
  <si>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</si>
  <si>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</si>
  <si>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</si>
  <si>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</si>
  <si>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</si>
  <si>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</si>
  <si>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</si>
  <si>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</si>
  <si>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</si>
  <si>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</si>
  <si>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</si>
  <si>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</si>
  <si>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</si>
  <si>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</si>
  <si>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</si>
  <si>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</si>
  <si>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</si>
  <si>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</si>
  <si>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</si>
  <si>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</si>
  <si>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</si>
  <si>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</si>
  <si>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</si>
  <si>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</si>
  <si>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</si>
  <si>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</si>
  <si>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</si>
  <si>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</si>
  <si>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</si>
  <si>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</si>
  <si>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</si>
  <si>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</si>
  <si>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</si>
  <si>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</si>
  <si>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</si>
  <si>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</si>
  <si>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</si>
  <si>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</si>
  <si>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</si>
  <si>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</si>
  <si>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</si>
  <si>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</si>
  <si>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</si>
  <si>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</si>
  <si>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</si>
  <si>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</si>
  <si>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</si>
  <si>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</si>
  <si>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</si>
  <si>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</si>
  <si>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</si>
  <si>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</si>
  <si>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</si>
  <si>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</si>
  <si>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</si>
  <si>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</si>
  <si>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</si>
  <si>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</si>
  <si>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</si>
  <si>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</si>
  <si>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</si>
  <si>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</si>
  <si>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</si>
  <si>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</si>
  <si>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</si>
  <si>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</si>
  <si>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</si>
  <si>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</si>
  <si>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</si>
  <si>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</si>
  <si>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</si>
  <si>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</si>
  <si>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</si>
  <si>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</si>
  <si>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</si>
  <si>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</si>
  <si>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</si>
  <si>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</si>
  <si>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</si>
  <si>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</si>
  <si>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</si>
  <si>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</si>
  <si>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</si>
  <si>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</si>
  <si>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</si>
  <si>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</si>
  <si>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</si>
  <si>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</si>
  <si>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</si>
  <si>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</si>
  <si>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</si>
  <si>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</si>
  <si>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</si>
  <si>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</si>
  <si>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</si>
  <si>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</si>
  <si>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</si>
  <si>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</si>
  <si>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</si>
  <si>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</si>
  <si>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</si>
  <si>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</si>
  <si>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</si>
  <si>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</si>
  <si>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</si>
  <si>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</si>
  <si>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</si>
  <si>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</si>
  <si>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</si>
  <si>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</si>
  <si>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</si>
  <si>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</si>
  <si>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</si>
  <si>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</si>
  <si>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</si>
  <si>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</si>
  <si>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</si>
  <si>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</si>
  <si>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</si>
  <si>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</si>
  <si>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</si>
  <si>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</si>
  <si>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</si>
  <si>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</si>
  <si>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</si>
  <si>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</si>
  <si>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</si>
  <si>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</si>
  <si>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</si>
  <si>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</si>
  <si>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</si>
  <si>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</si>
  <si>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</si>
  <si>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</si>
  <si>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</si>
  <si>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</si>
  <si>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</si>
  <si>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</si>
  <si>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</si>
  <si>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</si>
  <si>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</si>
  <si>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</si>
  <si>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</si>
  <si>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</si>
  <si>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</si>
  <si>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</si>
  <si>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</si>
  <si>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</si>
  <si>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</si>
  <si>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</si>
  <si>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</si>
  <si>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</si>
  <si>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</si>
  <si>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</si>
  <si>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</si>
  <si>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</si>
  <si>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</si>
  <si>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</si>
  <si>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</si>
  <si>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</si>
  <si>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</si>
  <si>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</si>
  <si>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</si>
  <si>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</si>
  <si>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</si>
  <si>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</si>
  <si>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</si>
  <si>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</si>
  <si>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</si>
  <si>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</si>
  <si>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</si>
  <si>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</si>
  <si>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</si>
  <si>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</si>
  <si>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</si>
  <si>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</si>
  <si>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</si>
  <si>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</si>
  <si>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</si>
  <si>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</si>
  <si>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</si>
  <si>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</si>
  <si>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</si>
  <si>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</si>
  <si>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</si>
  <si>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</si>
  <si>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</si>
  <si>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</si>
  <si>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</si>
  <si>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</si>
  <si>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</si>
  <si>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</si>
  <si>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</si>
  <si>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</si>
  <si>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</si>
  <si>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</si>
  <si>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</si>
  <si>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</si>
  <si>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</si>
  <si>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</si>
  <si>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</si>
  <si>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</si>
  <si>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</si>
  <si>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</si>
  <si>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</si>
  <si>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</si>
  <si>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</si>
  <si>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</si>
  <si>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</si>
  <si>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</si>
  <si>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</si>
  <si>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</si>
  <si>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</si>
  <si>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</si>
  <si>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</si>
  <si>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</si>
  <si>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</si>
  <si>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</si>
  <si>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</si>
  <si>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</si>
  <si>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</si>
  <si>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</si>
  <si>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</si>
  <si>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</si>
  <si>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</si>
  <si>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</si>
  <si>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</si>
  <si>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</si>
  <si>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</si>
  <si>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</si>
  <si>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</si>
  <si>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</si>
  <si>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</si>
  <si>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</si>
  <si>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</si>
  <si>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</si>
  <si>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</si>
  <si>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</si>
  <si>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</si>
  <si>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</si>
  <si>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</si>
  <si>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</si>
  <si>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</si>
  <si>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</si>
  <si>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</si>
  <si>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</si>
  <si>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</si>
  <si>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</si>
  <si>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</si>
  <si>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</si>
  <si>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</si>
  <si>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</si>
  <si>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</si>
  <si>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</si>
  <si>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</si>
  <si>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</si>
  <si>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</si>
  <si>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</si>
  <si>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</si>
  <si>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</si>
  <si>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</si>
  <si>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</si>
  <si>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</si>
  <si>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</si>
  <si>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</si>
  <si>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</si>
  <si>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</si>
  <si>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</si>
  <si>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</si>
  <si>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</si>
  <si>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</si>
  <si>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</si>
  <si>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</si>
  <si>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</si>
  <si>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</si>
  <si>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</si>
  <si>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</si>
  <si>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</si>
  <si>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</si>
  <si>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</si>
  <si>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</si>
  <si>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</si>
  <si>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</si>
  <si>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</si>
  <si>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</si>
  <si>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</si>
  <si>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</si>
  <si>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</si>
  <si>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</si>
  <si>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</si>
  <si>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</si>
  <si>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</si>
  <si>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</si>
  <si>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</si>
  <si>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</si>
  <si>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</si>
  <si>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</si>
  <si>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</si>
  <si>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</si>
  <si>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</si>
  <si>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</si>
  <si>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</si>
  <si>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</si>
  <si>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</si>
  <si>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</si>
  <si>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</si>
  <si>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</si>
  <si>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</si>
  <si>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</si>
  <si>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</si>
  <si>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</si>
  <si>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</si>
  <si>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</si>
  <si>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</si>
  <si>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</si>
  <si>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</si>
  <si>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</si>
  <si>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</si>
  <si>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</si>
  <si>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</si>
  <si>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</si>
  <si>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</si>
  <si>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</si>
  <si>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</si>
  <si>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</si>
  <si>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</si>
  <si>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</si>
  <si>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</si>
  <si>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</si>
  <si>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</si>
  <si>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</si>
  <si>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</si>
  <si>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</si>
  <si>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</si>
  <si>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</si>
  <si>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</si>
  <si>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</si>
  <si>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</si>
  <si>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</si>
  <si>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</si>
  <si>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</si>
  <si>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</si>
  <si>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</si>
  <si>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</si>
  <si>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</si>
  <si>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</si>
  <si>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</si>
  <si>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</si>
  <si>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</si>
  <si>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</si>
  <si>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</si>
  <si>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</si>
  <si>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</si>
  <si>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</si>
  <si>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</si>
  <si>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</si>
  <si>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</si>
  <si>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</si>
  <si>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</si>
  <si>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</si>
  <si>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</si>
  <si>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</si>
  <si>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</si>
  <si>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</si>
  <si>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</si>
  <si>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</si>
  <si>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</si>
  <si>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</si>
  <si>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</si>
  <si>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</si>
  <si>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</si>
  <si>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</si>
  <si>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</si>
  <si>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</si>
  <si>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</si>
  <si>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</si>
  <si>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</si>
  <si>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</si>
  <si>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</si>
  <si>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</si>
  <si>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</si>
  <si>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</si>
  <si>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</si>
  <si>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</si>
  <si>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</si>
  <si>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</si>
  <si>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</si>
  <si>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</si>
  <si>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</si>
  <si>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</si>
  <si>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</si>
  <si>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</si>
  <si>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</si>
  <si>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</si>
  <si>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</si>
  <si>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</si>
  <si>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</si>
  <si>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</si>
  <si>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</si>
  <si>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</si>
  <si>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</si>
  <si>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</si>
  <si>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</si>
  <si>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</si>
  <si>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</si>
  <si>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</si>
  <si>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</si>
  <si>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</si>
  <si>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</si>
  <si>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</si>
  <si>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</si>
  <si>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</si>
  <si>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</si>
  <si>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</si>
  <si>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</si>
  <si>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</si>
  <si>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</si>
  <si>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</si>
  <si>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</si>
  <si>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</si>
  <si>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</si>
  <si>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</si>
  <si>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</si>
  <si>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</si>
  <si>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</si>
  <si>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</si>
  <si>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</si>
  <si>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</si>
  <si>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</si>
  <si>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</si>
  <si>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</si>
  <si>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</si>
  <si>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</si>
  <si>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</si>
  <si>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</si>
  <si>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</si>
  <si>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</si>
  <si>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</si>
  <si>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</si>
  <si>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</si>
  <si>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</si>
  <si>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</si>
  <si>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</si>
  <si>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</si>
  <si>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</si>
  <si>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</si>
  <si>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</si>
  <si>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</si>
  <si>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</si>
  <si>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</si>
  <si>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</si>
  <si>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</si>
  <si>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</si>
  <si>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</si>
  <si>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</si>
  <si>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</si>
  <si>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</si>
  <si>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</si>
  <si>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</si>
  <si>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</si>
  <si>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</si>
  <si>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</si>
  <si>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</si>
  <si>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</si>
  <si>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</si>
  <si>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</si>
  <si>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</si>
  <si>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</si>
  <si>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</si>
  <si>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</si>
  <si>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</si>
  <si>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</si>
  <si>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</si>
  <si>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</si>
  <si>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</si>
  <si>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</si>
  <si>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</si>
  <si>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</si>
  <si>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</si>
  <si>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</si>
  <si>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</si>
  <si>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</si>
  <si>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</si>
  <si>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</si>
  <si>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</si>
  <si>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</si>
  <si>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</si>
  <si>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</si>
  <si>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</si>
  <si>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</si>
  <si>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</si>
  <si>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</si>
  <si>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</si>
  <si>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</si>
  <si>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</si>
  <si>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</si>
  <si>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</si>
  <si>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</si>
  <si>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</si>
  <si>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</si>
  <si>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</si>
  <si>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</si>
  <si>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</si>
  <si>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</si>
  <si>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</si>
  <si>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</si>
  <si>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</si>
  <si>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</si>
  <si>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</si>
  <si>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</si>
  <si>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</si>
  <si>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</si>
  <si>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</si>
  <si>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</si>
  <si>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</si>
  <si>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</si>
  <si>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</si>
  <si>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</si>
  <si>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</si>
  <si>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</si>
  <si>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</si>
  <si>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</si>
  <si>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</si>
  <si>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</si>
  <si>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</si>
  <si>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</si>
  <si>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</si>
  <si>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</si>
  <si>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</si>
  <si>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</si>
  <si>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</si>
  <si>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</si>
  <si>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</si>
  <si>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</si>
  <si>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</si>
  <si>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</si>
  <si>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</si>
  <si>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</si>
  <si>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</si>
  <si>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</si>
  <si>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</si>
  <si>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</si>
  <si>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</si>
  <si>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</si>
  <si>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</si>
  <si>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</si>
  <si>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</si>
  <si>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</si>
  <si>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</si>
  <si>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</si>
  <si>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</si>
  <si>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</si>
  <si>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</si>
  <si>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</si>
  <si>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</si>
  <si>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</si>
  <si>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</si>
  <si>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</si>
  <si>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</si>
  <si>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</si>
  <si>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</si>
  <si>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</si>
  <si>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</si>
  <si>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</si>
  <si>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</si>
  <si>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</si>
  <si>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</si>
  <si>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</si>
  <si>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</si>
  <si>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</si>
  <si>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</si>
  <si>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</si>
  <si>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</si>
  <si>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</si>
  <si>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</si>
  <si>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</si>
  <si>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</si>
  <si>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</si>
  <si>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</si>
  <si>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</si>
  <si>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</si>
  <si>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</si>
  <si>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</si>
  <si>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</si>
  <si>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</si>
  <si>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</si>
  <si>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</si>
  <si>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</si>
  <si>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</si>
  <si>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</si>
  <si>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</si>
  <si>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</si>
  <si>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</si>
  <si>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</si>
  <si>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</si>
  <si>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</si>
  <si>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</si>
  <si>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</si>
  <si>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</si>
  <si>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</si>
  <si>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</si>
  <si>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</si>
  <si>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</si>
  <si>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</si>
  <si>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</si>
  <si>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</si>
  <si>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</si>
  <si>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</si>
  <si>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</si>
  <si>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</si>
  <si>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</si>
  <si>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</si>
  <si>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</si>
  <si>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</si>
  <si>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</si>
  <si>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</si>
  <si>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</si>
  <si>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</si>
  <si>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</si>
  <si>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</si>
  <si>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</si>
  <si>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</si>
  <si>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</si>
  <si>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</si>
  <si>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</si>
  <si>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</si>
  <si>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</si>
  <si>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</si>
  <si>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</si>
  <si>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</si>
  <si>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</si>
  <si>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</si>
  <si>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</si>
  <si>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</si>
  <si>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</si>
  <si>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</si>
  <si>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</si>
  <si>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</si>
  <si>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</si>
  <si>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</si>
  <si>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</si>
  <si>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</si>
  <si>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</si>
  <si>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</si>
  <si>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</si>
  <si>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</si>
  <si>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</si>
  <si>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</si>
  <si>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</si>
  <si>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</si>
  <si>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</si>
  <si>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</si>
  <si>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</si>
  <si>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</si>
  <si>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</si>
  <si>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</si>
  <si>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</si>
  <si>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</si>
  <si>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</si>
  <si>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</si>
  <si>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</si>
  <si>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</si>
  <si>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</si>
  <si>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</si>
  <si>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</si>
  <si>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</si>
  <si>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</si>
  <si>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</si>
  <si>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</si>
  <si>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</si>
  <si>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</si>
  <si>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</si>
  <si>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</si>
  <si>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</si>
  <si>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</si>
  <si>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</si>
  <si>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</si>
  <si>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</si>
  <si>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</si>
  <si>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</si>
  <si>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</si>
  <si>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</si>
  <si>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</si>
  <si>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</si>
  <si>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</si>
  <si>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</si>
  <si>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</si>
  <si>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</si>
  <si>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</si>
  <si>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</si>
  <si>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</si>
  <si>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</si>
  <si>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</si>
  <si>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</si>
  <si>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</si>
  <si>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</si>
  <si>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</si>
  <si>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</si>
  <si>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</si>
  <si>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</si>
  <si>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</si>
  <si>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</si>
  <si>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</si>
  <si>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</si>
  <si>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</si>
  <si>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</si>
  <si>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</si>
  <si>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</si>
  <si>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</si>
  <si>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</si>
  <si>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</si>
  <si>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</si>
  <si>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</si>
  <si>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</si>
  <si>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</si>
  <si>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</si>
  <si>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</si>
  <si>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</si>
  <si>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</si>
  <si>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</si>
  <si>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</si>
  <si>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</si>
  <si>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</si>
  <si>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</si>
  <si>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</si>
  <si>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</si>
  <si>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</si>
  <si>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</si>
  <si>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</si>
  <si>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</si>
  <si>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</si>
  <si>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</si>
  <si>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</si>
  <si>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</si>
  <si>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</si>
  <si>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</si>
  <si>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</si>
  <si>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</si>
  <si>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</si>
  <si>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</si>
  <si>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</si>
  <si>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</si>
  <si>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</si>
  <si>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</si>
  <si>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</si>
  <si>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</si>
  <si>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</si>
  <si>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</si>
  <si>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</si>
  <si>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</si>
  <si>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</si>
  <si>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</si>
  <si>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</si>
  <si>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</si>
  <si>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</si>
  <si>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</si>
  <si>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</si>
  <si>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</si>
  <si>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</si>
  <si>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</si>
  <si>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</si>
  <si>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</si>
  <si>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</si>
  <si>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</si>
  <si>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</si>
  <si>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</si>
  <si>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</si>
  <si>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</si>
  <si>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</si>
  <si>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</si>
  <si>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</si>
  <si>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</si>
  <si>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</si>
  <si>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</si>
  <si>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</si>
  <si>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</si>
  <si>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</si>
  <si>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</si>
  <si>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</si>
  <si>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</si>
  <si>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</si>
  <si>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</si>
  <si>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</si>
  <si>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</si>
  <si>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</si>
  <si>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</si>
  <si>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</si>
  <si>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</si>
  <si>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</si>
  <si>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</si>
  <si>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</si>
  <si>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</si>
  <si>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</si>
  <si>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</si>
  <si>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</si>
  <si>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</si>
  <si>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</si>
  <si>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</si>
  <si>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</si>
  <si>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</si>
  <si>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</si>
  <si>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</si>
  <si>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</si>
  <si>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</si>
  <si>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</si>
  <si>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</si>
  <si>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</si>
  <si>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</si>
  <si>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</si>
  <si>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</si>
  <si>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</si>
  <si>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</si>
  <si>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</si>
  <si>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</si>
  <si>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</si>
  <si>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</si>
  <si>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</si>
  <si>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</si>
  <si>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</si>
  <si>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</si>
  <si>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</si>
  <si>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</si>
  <si>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</si>
  <si>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</si>
  <si>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</si>
  <si>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</si>
  <si>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</si>
  <si>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</si>
  <si>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</si>
  <si>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</si>
  <si>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</si>
  <si>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</si>
  <si>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</si>
  <si>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</si>
  <si>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</si>
  <si>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</si>
  <si>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</si>
  <si>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</si>
  <si>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</si>
  <si>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</si>
  <si>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</si>
  <si>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</si>
  <si>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</si>
  <si>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</si>
  <si>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</si>
  <si>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</si>
  <si>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</si>
  <si>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</si>
  <si>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</si>
  <si>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</si>
  <si>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</si>
  <si>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</si>
  <si>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</si>
  <si>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</si>
  <si>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</si>
  <si>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</si>
  <si>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</si>
  <si>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</si>
  <si>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</si>
  <si>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</si>
  <si>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</si>
  <si>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</si>
  <si>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</si>
  <si>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</si>
  <si>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</si>
  <si>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</si>
  <si>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</si>
  <si>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</si>
  <si>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</si>
  <si>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</si>
  <si>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</si>
  <si>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</si>
  <si>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</si>
  <si>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</si>
  <si>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</si>
  <si>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</si>
  <si>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</si>
  <si>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</si>
  <si>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</si>
  <si>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</si>
  <si>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</si>
  <si>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</si>
  <si>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</si>
  <si>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</si>
  <si>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</si>
  <si>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</si>
  <si>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</si>
  <si>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</si>
  <si>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</si>
  <si>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</si>
  <si>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</si>
  <si>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</si>
  <si>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</si>
  <si>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</si>
  <si>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</si>
  <si>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</si>
  <si>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</si>
  <si>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</si>
  <si>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</si>
  <si>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</si>
  <si>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</si>
  <si>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</si>
  <si>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</si>
  <si>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</si>
  <si>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</si>
  <si>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</si>
  <si>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</si>
  <si>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</si>
  <si>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</si>
  <si>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</si>
  <si>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</si>
  <si>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</si>
  <si>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</si>
  <si>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</si>
  <si>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</si>
  <si>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</si>
  <si>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</si>
  <si>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</si>
  <si>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</si>
  <si>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</si>
  <si>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</si>
  <si>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</si>
  <si>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</si>
  <si>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</si>
  <si>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</si>
  <si>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</si>
  <si>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</si>
  <si>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</si>
  <si>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</si>
  <si>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</si>
  <si>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</si>
  <si>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</si>
  <si>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</si>
  <si>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</si>
  <si>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</si>
  <si>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</si>
  <si>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</si>
  <si>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</si>
  <si>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</si>
  <si>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</si>
  <si>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</si>
  <si>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</si>
  <si>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</si>
  <si>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</si>
  <si>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</si>
  <si>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</si>
  <si>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</si>
  <si>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</si>
  <si>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</si>
  <si>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</si>
  <si>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</si>
  <si>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</si>
  <si>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</si>
  <si>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</si>
  <si>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</si>
  <si>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</si>
  <si>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</si>
  <si>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</si>
  <si>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</si>
  <si>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</si>
  <si>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</si>
  <si>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</si>
  <si>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</si>
  <si>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</si>
  <si>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</si>
  <si>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</si>
  <si>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</si>
  <si>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</si>
  <si>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</si>
  <si>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</si>
  <si>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</si>
  <si>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</si>
  <si>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</si>
  <si>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</si>
  <si>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</si>
  <si>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</si>
  <si>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</si>
  <si>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</si>
  <si>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</si>
  <si>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</si>
  <si>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</si>
  <si>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</si>
  <si>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</si>
  <si>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</si>
  <si>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</si>
  <si>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</si>
  <si>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</si>
  <si>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</si>
  <si>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</si>
  <si>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</si>
  <si>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</si>
  <si>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</si>
  <si>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</si>
  <si>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</si>
  <si>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</si>
  <si>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</si>
  <si>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</si>
  <si>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</si>
  <si>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</si>
  <si>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</si>
  <si>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</si>
  <si>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</si>
  <si>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</si>
  <si>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</si>
  <si>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</si>
  <si>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</si>
  <si>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</si>
  <si>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</si>
  <si>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</si>
  <si>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</si>
  <si>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</si>
  <si>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</si>
  <si>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</si>
  <si>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</si>
  <si>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</si>
  <si>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</si>
  <si>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</si>
  <si>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</si>
  <si>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</si>
  <si>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</si>
  <si>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</si>
  <si>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</si>
  <si>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</si>
  <si>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</si>
  <si>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</si>
  <si>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</si>
  <si>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</si>
  <si>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</si>
  <si>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</si>
  <si>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</si>
  <si>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</si>
  <si>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</si>
  <si>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</si>
  <si>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</si>
  <si>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</si>
  <si>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</si>
  <si>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</si>
  <si>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</si>
  <si>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</si>
  <si>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</si>
  <si>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</si>
  <si>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</si>
  <si>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</si>
  <si>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</si>
  <si>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</si>
  <si>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</si>
  <si>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</si>
  <si>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</si>
  <si>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</si>
  <si>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</si>
  <si>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</si>
  <si>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</si>
  <si>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</si>
  <si>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</si>
  <si>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</si>
  <si>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</si>
  <si>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</si>
  <si>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</si>
  <si>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</si>
  <si>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</si>
  <si>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</si>
  <si>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</si>
  <si>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</si>
  <si>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</si>
  <si>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</si>
  <si>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</si>
  <si>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</si>
  <si>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</si>
  <si>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</si>
  <si>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</si>
  <si>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</si>
  <si>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</si>
  <si>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</si>
  <si>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</si>
  <si>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</si>
  <si>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</si>
  <si>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</si>
  <si>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</si>
  <si>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</si>
  <si>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</si>
  <si>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</si>
  <si>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</si>
  <si>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</si>
  <si>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</si>
  <si>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</si>
  <si>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</si>
  <si>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</si>
  <si>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</si>
  <si>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</si>
  <si>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</si>
  <si>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</si>
  <si>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</si>
  <si>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</si>
  <si>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</si>
  <si>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</si>
  <si>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</si>
  <si>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</si>
  <si>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</si>
  <si>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</si>
  <si>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</si>
  <si>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</si>
  <si>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</si>
  <si>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</si>
  <si>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</si>
  <si>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</si>
  <si>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</si>
  <si>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</si>
  <si>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</si>
  <si>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</si>
  <si>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</si>
  <si>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</si>
  <si>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</si>
  <si>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</si>
  <si>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</si>
  <si>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</si>
  <si>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</si>
  <si>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</si>
  <si>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</si>
  <si>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</si>
  <si>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</si>
  <si>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</si>
  <si>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</si>
  <si>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</si>
  <si>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</si>
  <si>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</si>
  <si>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</si>
  <si>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</si>
  <si>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</si>
  <si>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</si>
  <si>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</si>
  <si>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</si>
  <si>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</si>
  <si>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</si>
  <si>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</si>
  <si>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</si>
  <si>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</si>
  <si>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</si>
  <si>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</si>
  <si>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</si>
  <si>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</si>
  <si>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</si>
  <si>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</si>
  <si>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</si>
  <si>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</si>
  <si>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</si>
  <si>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</si>
  <si>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</si>
  <si>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</si>
  <si>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</si>
  <si>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</si>
  <si>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</si>
  <si>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</si>
  <si>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</si>
  <si>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</si>
  <si>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</si>
  <si>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</si>
  <si>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</si>
  <si>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</si>
  <si>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</si>
  <si>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</si>
  <si>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</si>
  <si>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</si>
  <si>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</si>
  <si>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</si>
  <si>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</si>
  <si>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</si>
  <si>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</si>
  <si>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</si>
  <si>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</si>
  <si>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</si>
  <si>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</si>
  <si>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</si>
  <si>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</si>
  <si>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</si>
  <si>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</si>
  <si>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</si>
  <si>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</si>
  <si>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</si>
  <si>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</si>
  <si>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</si>
  <si>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</si>
  <si>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</si>
  <si>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</si>
  <si>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</si>
  <si>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</si>
  <si>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</si>
  <si>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</si>
  <si>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</si>
  <si>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</si>
  <si>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</si>
  <si>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</si>
  <si>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</si>
  <si>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</si>
  <si>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</si>
  <si>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</si>
  <si>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</si>
  <si>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</si>
  <si>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</si>
  <si>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</si>
  <si>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</si>
  <si>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</si>
  <si>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</si>
  <si>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</si>
  <si>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</si>
  <si>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</si>
  <si>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</si>
  <si>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</si>
  <si>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</si>
  <si>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</si>
  <si>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</si>
  <si>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</si>
  <si>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</si>
  <si>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</si>
  <si>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</si>
  <si>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</si>
  <si>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</si>
  <si>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</si>
  <si>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</si>
  <si>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</si>
  <si>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</si>
  <si>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</si>
  <si>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</si>
  <si>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</si>
  <si>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</si>
  <si>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</si>
  <si>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</si>
  <si>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</si>
  <si>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</si>
  <si>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</si>
  <si>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</si>
  <si>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</si>
  <si>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</si>
  <si>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</si>
  <si>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</si>
  <si>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</si>
  <si>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</si>
  <si>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</si>
  <si>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</si>
  <si>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</si>
  <si>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</si>
  <si>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</si>
  <si>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</si>
  <si>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</si>
  <si>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</si>
  <si>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</si>
  <si>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</si>
  <si>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</si>
  <si>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</si>
  <si>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</si>
  <si>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</si>
  <si>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</si>
  <si>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</si>
  <si>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</si>
  <si>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</si>
  <si>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</si>
  <si>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</si>
  <si>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</si>
  <si>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</si>
  <si>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</si>
  <si>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</si>
  <si>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</si>
  <si>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</si>
  <si>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</si>
  <si>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</si>
  <si>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</si>
  <si>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</si>
  <si>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</si>
  <si>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</si>
  <si>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</si>
  <si>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</si>
  <si>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</si>
  <si>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</si>
  <si>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</si>
  <si>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</si>
  <si>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</si>
  <si>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</si>
  <si>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</si>
  <si>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</si>
  <si>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</si>
  <si>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</si>
  <si>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</si>
  <si>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</si>
  <si>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</si>
  <si>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</si>
  <si>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</si>
  <si>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</si>
  <si>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</si>
  <si>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</si>
  <si>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</si>
  <si>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</si>
  <si>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</si>
  <si>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</si>
  <si>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</si>
  <si>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</si>
  <si>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</si>
  <si>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</si>
  <si>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</si>
  <si>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</si>
  <si>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</si>
  <si>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</si>
  <si>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</si>
  <si>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</si>
  <si>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</si>
  <si>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</si>
  <si>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</si>
  <si>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</si>
  <si>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</si>
  <si>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</si>
  <si>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</si>
  <si>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</si>
  <si>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</si>
  <si>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</si>
  <si>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</si>
  <si>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</si>
  <si>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</si>
  <si>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</si>
  <si>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</si>
  <si>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</si>
  <si>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</si>
  <si>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</si>
  <si>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</si>
  <si>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</si>
  <si>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</si>
  <si>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</si>
  <si>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</si>
  <si>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</si>
  <si>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</si>
  <si>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</si>
  <si>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</si>
  <si>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</si>
  <si>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</si>
  <si>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</si>
  <si>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</si>
  <si>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</si>
  <si>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</si>
  <si>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</si>
  <si>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</si>
  <si>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</si>
  <si>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</si>
  <si>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</si>
  <si>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</si>
  <si>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</si>
  <si>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</si>
  <si>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</si>
  <si>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</si>
  <si>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</si>
  <si>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</si>
  <si>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</si>
  <si>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</si>
  <si>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</si>
  <si>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</si>
  <si>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</si>
  <si>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</si>
  <si>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</si>
  <si>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</si>
  <si>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</si>
  <si>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</si>
  <si>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</si>
  <si>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</si>
  <si>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</si>
  <si>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</si>
  <si>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</si>
  <si>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</si>
  <si>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</si>
  <si>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</si>
  <si>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</si>
  <si>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</si>
  <si>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</si>
  <si>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</si>
  <si>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</si>
  <si>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</si>
  <si>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</si>
  <si>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</si>
  <si>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</si>
  <si>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</si>
  <si>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</si>
  <si>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</si>
  <si>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</si>
  <si>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</si>
  <si>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</si>
  <si>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</si>
  <si>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</si>
  <si>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</si>
  <si>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</si>
  <si>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</si>
  <si>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</si>
  <si>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</si>
  <si>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</si>
  <si>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</si>
  <si>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</si>
  <si>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</si>
  <si>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</si>
  <si>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</si>
  <si>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</si>
  <si>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</si>
  <si>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</si>
  <si>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</si>
  <si>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</si>
  <si>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</si>
  <si>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</si>
  <si>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</si>
  <si>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</si>
  <si>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</si>
  <si>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</si>
  <si>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</si>
  <si>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</si>
  <si>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</si>
  <si>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</si>
  <si>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</si>
  <si>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</si>
  <si>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</si>
  <si>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</si>
  <si>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</si>
  <si>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</si>
  <si>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</si>
  <si>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</si>
  <si>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</si>
  <si>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</si>
  <si>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</si>
  <si>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</si>
  <si>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</si>
  <si>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</si>
  <si>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</si>
  <si>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</si>
  <si>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</si>
  <si>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</si>
  <si>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</si>
  <si>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</si>
  <si>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</si>
  <si>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</si>
  <si>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</si>
  <si>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</si>
  <si>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</si>
  <si>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</si>
  <si>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</si>
  <si>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</si>
  <si>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</si>
  <si>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</si>
  <si>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</si>
  <si>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</si>
  <si>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</si>
  <si>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</si>
  <si>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</si>
  <si>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</si>
  <si>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</si>
  <si>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</si>
  <si>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</si>
  <si>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</si>
  <si>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</si>
  <si>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</si>
  <si>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</si>
  <si>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</si>
  <si>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</si>
  <si>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</si>
  <si>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</si>
  <si>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</si>
  <si>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</si>
  <si>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</si>
  <si>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</si>
  <si>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</si>
  <si>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</si>
  <si>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</si>
  <si>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</si>
  <si>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</si>
  <si>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</si>
  <si>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</si>
  <si>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</si>
  <si>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</si>
  <si>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</si>
  <si>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</si>
  <si>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</si>
  <si>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</si>
  <si>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</si>
  <si>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</si>
  <si>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</si>
  <si>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</si>
  <si>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</si>
  <si>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</si>
  <si>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</si>
  <si>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</si>
  <si>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</si>
  <si>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</si>
  <si>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</si>
  <si>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</si>
  <si>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</si>
  <si>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</si>
  <si>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</si>
  <si>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</si>
  <si>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</si>
  <si>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</si>
  <si>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</si>
  <si>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</si>
  <si>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</si>
  <si>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</si>
  <si>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</si>
  <si>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</si>
  <si>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</si>
  <si>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</si>
  <si>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</si>
  <si>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</si>
  <si>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</si>
  <si>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</si>
  <si>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</si>
  <si>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</si>
  <si>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</si>
  <si>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</si>
  <si>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</si>
  <si>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</si>
  <si>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</si>
  <si>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</si>
  <si>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</si>
  <si>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</si>
  <si>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</si>
  <si>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</si>
  <si>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</si>
  <si>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</si>
  <si>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</si>
  <si>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</si>
  <si>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</si>
  <si>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</si>
  <si>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</si>
  <si>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</si>
  <si>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</si>
  <si>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</si>
  <si>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</si>
  <si>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</si>
  <si>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</si>
  <si>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</si>
  <si>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</si>
  <si>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</si>
  <si>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</si>
  <si>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</si>
  <si>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</si>
  <si>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</si>
  <si>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</si>
  <si>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</si>
  <si>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</si>
  <si>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</si>
  <si>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</si>
  <si>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</si>
  <si>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</si>
  <si>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</si>
  <si>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</si>
  <si>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</si>
  <si>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</si>
  <si>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</si>
  <si>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</si>
  <si>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</si>
  <si>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</si>
  <si>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</si>
  <si>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</si>
  <si>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</si>
  <si>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</si>
  <si>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</si>
  <si>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</si>
  <si>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</si>
  <si>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</si>
  <si>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</si>
  <si>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</si>
  <si>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</si>
  <si>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</si>
  <si>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</si>
  <si>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</si>
  <si>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</si>
  <si>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</si>
  <si>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</si>
  <si>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</si>
  <si>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</si>
  <si>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</si>
  <si>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</si>
  <si>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</si>
  <si>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</si>
  <si>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</si>
  <si>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</si>
  <si>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</si>
  <si>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</si>
  <si>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</si>
  <si>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</si>
  <si>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</si>
  <si>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</si>
  <si>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</si>
  <si>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</si>
  <si>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</si>
  <si>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</si>
  <si>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</si>
  <si>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</si>
  <si>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</si>
  <si>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</si>
  <si>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</si>
  <si>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</si>
  <si>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</si>
  <si>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</si>
  <si>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</si>
  <si>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</si>
  <si>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</si>
  <si>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</si>
  <si>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</si>
  <si>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</si>
  <si>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</si>
  <si>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</si>
  <si>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</si>
  <si>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</si>
  <si>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</si>
  <si>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</si>
  <si>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</si>
  <si>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</si>
  <si>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</si>
  <si>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</si>
  <si>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</si>
  <si>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</si>
  <si>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</si>
  <si>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</si>
  <si>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</si>
  <si>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</si>
  <si>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</si>
  <si>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</si>
  <si>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</si>
  <si>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</si>
  <si>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</si>
  <si>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</si>
  <si>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</si>
  <si>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</si>
  <si>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</si>
  <si>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</si>
  <si>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</si>
  <si>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</si>
  <si>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</si>
  <si>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</si>
  <si>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</si>
  <si>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</si>
  <si>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</si>
  <si>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</si>
  <si>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</si>
  <si>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</si>
  <si>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</si>
  <si>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</si>
  <si>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</si>
  <si>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</si>
  <si>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</si>
  <si>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</si>
  <si>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</si>
  <si>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</si>
  <si>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</si>
  <si>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</si>
  <si>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</si>
  <si>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</si>
  <si>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</si>
  <si>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</si>
  <si>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</si>
  <si>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</si>
  <si>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</si>
  <si>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</si>
  <si>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</si>
  <si>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</si>
  <si>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</si>
  <si>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</si>
  <si>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</si>
  <si>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</si>
  <si>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</si>
  <si>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</si>
  <si>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</si>
  <si>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</si>
  <si>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</si>
  <si>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</si>
  <si>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</si>
  <si>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</si>
  <si>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</si>
  <si>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</si>
  <si>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</si>
  <si>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</si>
  <si>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</si>
  <si>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</si>
  <si>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</si>
  <si>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</si>
  <si>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</si>
  <si>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</si>
  <si>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</si>
  <si>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</si>
  <si>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</si>
  <si>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</si>
  <si>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</si>
  <si>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</si>
  <si>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</si>
  <si>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</si>
  <si>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</si>
  <si>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</si>
  <si>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</si>
  <si>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</si>
  <si>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</si>
  <si>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</si>
  <si>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</si>
  <si>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</si>
  <si>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</si>
  <si>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</si>
  <si>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</si>
  <si>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</si>
  <si>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</si>
  <si>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</si>
  <si>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</si>
  <si>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</si>
  <si>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</si>
  <si>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</si>
  <si>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</si>
  <si>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</si>
  <si>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</si>
  <si>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</si>
  <si>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</si>
  <si>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</si>
  <si>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</si>
  <si>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</si>
  <si>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</si>
  <si>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</si>
  <si>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</si>
  <si>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</si>
  <si>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</si>
  <si>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</si>
  <si>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</si>
  <si>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</si>
  <si>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</si>
  <si>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</si>
  <si>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</si>
  <si>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</si>
  <si>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</si>
  <si>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</si>
  <si>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</si>
  <si>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</si>
  <si>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</si>
  <si>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</si>
  <si>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</si>
  <si>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</si>
  <si>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</si>
  <si>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</si>
  <si>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</si>
  <si>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</si>
  <si>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</si>
  <si>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</si>
  <si>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</si>
  <si>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</si>
  <si>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</si>
  <si>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</si>
  <si>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</si>
  <si>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</si>
  <si>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</si>
  <si>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</si>
  <si>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</si>
  <si>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</si>
  <si>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</si>
  <si>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</si>
  <si>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</si>
  <si>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</si>
  <si>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</si>
  <si>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</si>
  <si>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</si>
  <si>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</si>
  <si>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</si>
  <si>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</si>
  <si>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</si>
  <si>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</si>
  <si>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</si>
  <si>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</si>
  <si>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</si>
  <si>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</si>
  <si>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</si>
  <si>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</si>
  <si>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</si>
  <si>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</si>
  <si>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</si>
  <si>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</si>
  <si>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</si>
  <si>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</si>
  <si>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</si>
  <si>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</si>
  <si>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</si>
  <si>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</si>
  <si>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</si>
  <si>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</si>
  <si>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</si>
  <si>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</si>
  <si>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</si>
  <si>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</si>
  <si>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</si>
  <si>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</si>
  <si>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</si>
  <si>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</si>
  <si>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</si>
  <si>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</si>
  <si>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</si>
  <si>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</si>
  <si>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</si>
  <si>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</si>
  <si>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</si>
  <si>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</si>
  <si>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</si>
  <si>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</si>
  <si>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</si>
  <si>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</si>
  <si>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</si>
  <si>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</si>
  <si>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</si>
  <si>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</si>
  <si>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</si>
  <si>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</si>
  <si>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</si>
  <si>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</si>
  <si>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</si>
  <si>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</si>
  <si>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</si>
  <si>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</si>
  <si>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</si>
  <si>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</si>
  <si>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</si>
  <si>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</si>
  <si>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</si>
  <si>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</si>
  <si>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</si>
  <si>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</si>
  <si>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</si>
  <si>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</si>
  <si>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</si>
  <si>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</si>
  <si>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</si>
  <si>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</si>
  <si>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</si>
  <si>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</si>
  <si>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</si>
  <si>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</si>
  <si>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</si>
  <si>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</si>
  <si>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</si>
  <si>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</si>
  <si>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</si>
  <si>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</si>
  <si>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</si>
  <si>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</si>
  <si>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</si>
  <si>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</si>
  <si>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</si>
  <si>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</si>
  <si>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</si>
  <si>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</si>
  <si>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</si>
  <si>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</si>
  <si>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</si>
  <si>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</si>
  <si>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</si>
  <si>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</si>
  <si>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</si>
  <si>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</si>
  <si>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</si>
  <si>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</si>
  <si>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</si>
  <si>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</si>
  <si>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</si>
  <si>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</si>
  <si>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</si>
  <si>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</si>
  <si>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</si>
  <si>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</si>
  <si>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</si>
  <si>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</si>
  <si>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</si>
  <si>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</si>
  <si>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</si>
  <si>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</si>
  <si>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</si>
  <si>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</si>
  <si>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</si>
  <si>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</si>
  <si>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</si>
  <si>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</si>
  <si>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</si>
  <si>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</si>
  <si>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</si>
  <si>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</si>
  <si>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</si>
  <si>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</si>
  <si>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</si>
  <si>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</si>
  <si>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</si>
  <si>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</si>
  <si>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</si>
  <si>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</si>
  <si>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</si>
  <si>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</si>
  <si>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</si>
  <si>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</si>
  <si>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</si>
  <si>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</si>
  <si>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</si>
  <si>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</si>
  <si>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</si>
  <si>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</si>
  <si>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</si>
  <si>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</si>
  <si>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</si>
  <si>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</si>
  <si>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</si>
  <si>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</si>
  <si>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</si>
  <si>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</si>
  <si>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</si>
  <si>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</si>
  <si>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</si>
  <si>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</si>
  <si>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</si>
  <si>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</si>
  <si>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</si>
  <si>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</si>
  <si>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</si>
  <si>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</si>
  <si>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</si>
  <si>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</si>
  <si>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</si>
  <si>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</si>
  <si>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</si>
  <si>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</si>
  <si>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</si>
  <si>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</si>
  <si>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</si>
  <si>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</si>
  <si>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</si>
  <si>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</si>
  <si>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</si>
  <si>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</si>
  <si>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</si>
  <si>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</si>
  <si>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</si>
  <si>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</si>
  <si>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</si>
  <si>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</si>
  <si>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</si>
  <si>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</si>
  <si>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</si>
  <si>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</si>
  <si>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</si>
  <si>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</si>
  <si>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</si>
  <si>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</si>
  <si>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</si>
  <si>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</si>
  <si>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</si>
  <si>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</si>
  <si>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</si>
  <si>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</si>
  <si>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</si>
  <si>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</si>
  <si>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</si>
  <si>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</si>
  <si>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</si>
  <si>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</si>
  <si>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</si>
  <si>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</si>
  <si>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</si>
  <si>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</si>
  <si>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</si>
  <si>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</si>
  <si>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</si>
  <si>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</si>
  <si>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</si>
  <si>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</si>
  <si>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</si>
  <si>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</si>
  <si>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</si>
  <si>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</si>
  <si>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</si>
  <si>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</si>
  <si>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</si>
  <si>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</si>
  <si>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</si>
  <si>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</si>
  <si>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</si>
  <si>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</si>
  <si>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</si>
  <si>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</si>
  <si>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</si>
  <si>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</si>
  <si>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</si>
  <si>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</si>
  <si>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</si>
  <si>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</si>
  <si>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</si>
  <si>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</si>
  <si>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</si>
  <si>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</si>
  <si>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</si>
  <si>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</si>
  <si>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</si>
  <si>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</si>
  <si>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</si>
  <si>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</si>
  <si>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</si>
  <si>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</si>
  <si>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</si>
  <si>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</si>
  <si>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</si>
  <si>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</si>
  <si>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</si>
  <si>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</si>
  <si>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</si>
  <si>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</si>
  <si>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</si>
  <si>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</si>
  <si>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</si>
  <si>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</si>
  <si>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</si>
  <si>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</si>
  <si>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</si>
  <si>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</si>
  <si>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</si>
  <si>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</si>
  <si>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</si>
  <si>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</si>
  <si>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</si>
  <si>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</si>
  <si>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</si>
  <si>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</si>
  <si>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</si>
  <si>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</si>
  <si>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</si>
  <si>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</si>
  <si>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</si>
  <si>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</si>
  <si>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</si>
  <si>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</si>
  <si>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</si>
  <si>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</si>
  <si>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</si>
  <si>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</si>
  <si>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</si>
  <si>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</si>
  <si>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</si>
  <si>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</si>
  <si>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</si>
  <si>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</si>
  <si>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</si>
  <si>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</si>
  <si>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</si>
  <si>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</si>
  <si>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</si>
  <si>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</si>
  <si>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</si>
  <si>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</si>
  <si>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</si>
  <si>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</si>
  <si>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</si>
  <si>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</si>
  <si>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</si>
  <si>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</si>
  <si>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</si>
  <si>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</si>
  <si>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</si>
  <si>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</si>
  <si>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</si>
  <si>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</si>
  <si>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</si>
  <si>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</si>
  <si>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</si>
  <si>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</si>
  <si>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</si>
  <si>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</si>
  <si>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</si>
  <si>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</si>
  <si>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</si>
  <si>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</si>
  <si>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</si>
  <si>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</si>
  <si>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</si>
  <si>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</si>
  <si>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</si>
  <si>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</si>
  <si>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</si>
  <si>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</si>
  <si>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</si>
  <si>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</si>
  <si>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</si>
  <si>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</si>
  <si>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</si>
  <si>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</si>
  <si>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</si>
  <si>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</si>
  <si>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</si>
  <si>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</si>
  <si>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</si>
  <si>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</si>
  <si>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</si>
  <si>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</si>
  <si>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</si>
  <si>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</si>
  <si>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</si>
  <si>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</si>
  <si>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</si>
  <si>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</si>
  <si>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</si>
  <si>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</si>
  <si>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</si>
  <si>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</si>
  <si>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</si>
  <si>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</si>
  <si>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</si>
  <si>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</si>
  <si>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</si>
  <si>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</si>
  <si>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</si>
  <si>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</si>
  <si>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</si>
  <si>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</si>
  <si>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</si>
  <si>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</si>
  <si>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</si>
  <si>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</si>
  <si>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</si>
  <si>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</si>
  <si>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</si>
  <si>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</si>
  <si>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</si>
  <si>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</si>
  <si>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</si>
  <si>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</si>
  <si>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</si>
  <si>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</si>
  <si>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</si>
  <si>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</si>
  <si>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</si>
  <si>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</si>
  <si>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</si>
  <si>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</si>
  <si>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</si>
  <si>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</si>
  <si>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</si>
  <si>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</si>
  <si>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</si>
  <si>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</si>
  <si>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</si>
  <si>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</si>
  <si>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</si>
  <si>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</si>
  <si>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</si>
  <si>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</si>
  <si>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</si>
  <si>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</si>
  <si>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</si>
  <si>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</si>
  <si>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</si>
  <si>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</si>
  <si>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</si>
  <si>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</si>
  <si>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</si>
  <si>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</si>
  <si>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</si>
  <si>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</si>
  <si>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</si>
  <si>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</si>
  <si>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</si>
  <si>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</si>
  <si>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</si>
  <si>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</si>
  <si>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</si>
  <si>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</si>
  <si>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</si>
  <si>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</si>
  <si>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</si>
  <si>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</si>
  <si>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</si>
  <si>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</si>
  <si>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</si>
  <si>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</si>
  <si>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</si>
  <si>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</si>
  <si>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</si>
  <si>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</si>
  <si>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</si>
  <si>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</si>
  <si>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</si>
  <si>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</si>
  <si>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</si>
  <si>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</si>
  <si>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</si>
  <si>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</si>
  <si>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</si>
  <si>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</si>
  <si>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</si>
  <si>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</si>
  <si>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</si>
  <si>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</si>
  <si>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</si>
  <si>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</si>
  <si>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</si>
  <si>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</si>
  <si>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</si>
  <si>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</si>
  <si>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</si>
  <si>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</si>
  <si>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</si>
  <si>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</si>
  <si>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</si>
  <si>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</si>
  <si>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</si>
  <si>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</si>
  <si>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</si>
  <si>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</si>
  <si>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</si>
  <si>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</si>
  <si>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</si>
  <si>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</si>
  <si>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</si>
  <si>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</si>
  <si>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</si>
  <si>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</si>
  <si>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</si>
  <si>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</si>
  <si>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</si>
  <si>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</si>
  <si>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</si>
  <si>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</si>
  <si>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</si>
  <si>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</si>
  <si>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</si>
  <si>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</si>
  <si>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</si>
  <si>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</si>
  <si>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</si>
  <si>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</si>
  <si>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</si>
  <si>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</si>
  <si>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</si>
  <si>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</si>
  <si>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</si>
  <si>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</si>
  <si>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</si>
  <si>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</si>
  <si>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</si>
  <si>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</si>
  <si>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</si>
  <si>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</si>
  <si>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</si>
  <si>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</si>
  <si>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</si>
  <si>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</si>
  <si>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</si>
  <si>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</si>
  <si>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</si>
  <si>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</si>
  <si>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</si>
  <si>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</si>
  <si>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</si>
  <si>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</si>
  <si>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</si>
  <si>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</si>
  <si>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</si>
  <si>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</si>
  <si>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</si>
  <si>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</si>
  <si>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</si>
  <si>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</si>
  <si>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</si>
  <si>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</si>
  <si>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</si>
  <si>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</si>
  <si>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</si>
  <si>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</si>
  <si>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</si>
  <si>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</si>
  <si>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</si>
  <si>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</si>
  <si>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</si>
  <si>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</si>
  <si>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</si>
  <si>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</si>
  <si>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</si>
  <si>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</si>
  <si>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</si>
  <si>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</si>
  <si>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</si>
  <si>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</si>
  <si>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</si>
  <si>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</si>
  <si>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</si>
  <si>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</si>
  <si>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</si>
  <si>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</si>
  <si>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</si>
  <si>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</si>
  <si>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</si>
  <si>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</si>
  <si>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</si>
  <si>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</si>
  <si>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</si>
  <si>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</si>
  <si>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</si>
  <si>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</si>
  <si>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</si>
  <si>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</si>
  <si>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</si>
  <si>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</si>
  <si>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</si>
  <si>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</si>
  <si>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</si>
  <si>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</si>
  <si>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</si>
  <si>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</si>
  <si>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</si>
  <si>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</si>
  <si>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</si>
  <si>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</si>
  <si>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</si>
  <si>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</si>
  <si>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</si>
  <si>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</si>
  <si>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</si>
  <si>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</si>
  <si>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</si>
  <si>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</si>
  <si>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</si>
  <si>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</si>
  <si>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</si>
  <si>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</si>
  <si>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</si>
  <si>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</si>
  <si>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</si>
  <si>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</si>
  <si>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</si>
  <si>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</si>
  <si>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</si>
  <si>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</si>
  <si>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</si>
  <si>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</si>
  <si>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</si>
  <si>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</si>
  <si>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</si>
  <si>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</si>
  <si>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</si>
  <si>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</si>
  <si>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</si>
  <si>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</si>
  <si>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</si>
  <si>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</si>
  <si>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</si>
  <si>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</si>
  <si>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</si>
  <si>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</si>
  <si>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</si>
  <si>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</si>
  <si>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</si>
  <si>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</si>
  <si>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</si>
  <si>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</si>
  <si>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</si>
  <si>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</si>
  <si>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</si>
  <si>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</si>
  <si>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</si>
  <si>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</si>
  <si>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</si>
  <si>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</si>
  <si>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</si>
  <si>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</si>
  <si>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</si>
  <si>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</si>
  <si>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</si>
  <si>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</si>
  <si>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</si>
  <si>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</si>
  <si>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</si>
  <si>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</si>
  <si>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</si>
  <si>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</si>
  <si>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</si>
  <si>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</si>
  <si>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</si>
  <si>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</si>
  <si>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</si>
  <si>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</si>
  <si>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</si>
  <si>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</si>
  <si>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</si>
  <si>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</si>
  <si>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</si>
  <si>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</si>
  <si>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</si>
  <si>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</si>
  <si>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</si>
  <si>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</si>
  <si>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</si>
  <si>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</si>
  <si>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</si>
  <si>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</si>
  <si>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</si>
  <si>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</si>
  <si>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</si>
  <si>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</si>
  <si>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</si>
  <si>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</si>
  <si>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</si>
  <si>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</si>
  <si>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</si>
  <si>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</si>
  <si>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</si>
  <si>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</si>
  <si>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</si>
  <si>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</si>
  <si>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</si>
  <si>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</si>
  <si>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</si>
  <si>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</si>
  <si>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</si>
  <si>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</si>
  <si>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</si>
  <si>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</si>
  <si>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</si>
  <si>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</si>
  <si>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</si>
  <si>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</si>
  <si>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</si>
  <si>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</si>
  <si>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</si>
  <si>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</si>
  <si>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</si>
  <si>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</si>
  <si>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</si>
  <si>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</si>
  <si>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</si>
  <si>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</si>
  <si>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</si>
  <si>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</si>
  <si>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</si>
  <si>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</si>
  <si>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</si>
  <si>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</si>
  <si>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</si>
  <si>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</si>
  <si>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</si>
  <si>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</si>
  <si>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</si>
  <si>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</si>
  <si>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</si>
  <si>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</si>
  <si>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</si>
  <si>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</si>
  <si>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</si>
  <si>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</si>
  <si>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</si>
  <si>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</si>
  <si>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</si>
  <si>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</si>
  <si>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</si>
  <si>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</si>
  <si>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</si>
  <si>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</si>
  <si>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</si>
  <si>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</si>
  <si>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</si>
  <si>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</si>
  <si>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</si>
  <si>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</si>
  <si>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</si>
  <si>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</si>
  <si>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</si>
  <si>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</si>
  <si>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</si>
  <si>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</si>
  <si>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</si>
  <si>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</si>
  <si>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</si>
  <si>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</si>
  <si>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</si>
  <si>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</si>
  <si>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</si>
  <si>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</si>
  <si>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</si>
  <si>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</si>
  <si>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</si>
  <si>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</si>
  <si>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</si>
  <si>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</si>
  <si>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</si>
  <si>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</si>
  <si>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</si>
  <si>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</si>
  <si>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</si>
  <si>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</si>
  <si>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</si>
  <si>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</si>
  <si>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</si>
  <si>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</si>
  <si>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</si>
  <si>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</si>
  <si>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</si>
  <si>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</si>
  <si>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</si>
  <si>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</si>
  <si>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</si>
  <si>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</si>
  <si>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</si>
  <si>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</si>
  <si>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</si>
  <si>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</si>
  <si>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</si>
  <si>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</si>
  <si>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</si>
  <si>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</si>
  <si>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</si>
  <si>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</si>
  <si>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</si>
  <si>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</si>
  <si>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</si>
  <si>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</si>
  <si>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</si>
  <si>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</si>
  <si>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</si>
  <si>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</si>
  <si>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</si>
  <si>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</si>
  <si>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</si>
  <si>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</si>
  <si>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</si>
  <si>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</si>
  <si>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</si>
  <si>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</si>
  <si>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</si>
  <si>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</si>
  <si>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</si>
  <si>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</si>
  <si>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</si>
  <si>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</si>
  <si>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</si>
  <si>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</si>
  <si>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</si>
  <si>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</si>
  <si>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</si>
  <si>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</si>
  <si>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</si>
  <si>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</si>
  <si>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</si>
  <si>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</si>
  <si>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</si>
  <si>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</si>
  <si>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</si>
  <si>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</si>
  <si>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</si>
  <si>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</si>
  <si>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</si>
  <si>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</si>
  <si>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</si>
  <si>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</si>
  <si>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</si>
  <si>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</si>
  <si>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</si>
  <si>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</si>
  <si>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</si>
  <si>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</si>
  <si>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</si>
  <si>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</si>
  <si>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</si>
  <si>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</si>
  <si>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</si>
  <si>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</si>
  <si>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</si>
  <si>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</si>
  <si>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</si>
  <si>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</si>
  <si>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</si>
  <si>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</si>
  <si>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</si>
  <si>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</si>
  <si>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</si>
  <si>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</si>
  <si>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</si>
  <si>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</si>
  <si>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</si>
  <si>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</si>
  <si>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</si>
  <si>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</si>
  <si>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</si>
  <si>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</si>
  <si>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</si>
  <si>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</si>
  <si>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</si>
  <si>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</si>
  <si>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</si>
  <si>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</si>
  <si>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</si>
  <si>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</si>
  <si>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</si>
  <si>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</si>
  <si>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</si>
  <si>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</si>
  <si>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</si>
  <si>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</si>
  <si>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</si>
  <si>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</si>
  <si>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</si>
  <si>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</si>
  <si>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</si>
  <si>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</si>
  <si>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</si>
  <si>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</si>
  <si>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</si>
  <si>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</si>
  <si>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</si>
  <si>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</si>
  <si>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</si>
  <si>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</si>
  <si>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</si>
  <si>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</si>
  <si>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</si>
  <si>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</si>
  <si>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</si>
  <si>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</si>
  <si>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</si>
  <si>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</si>
  <si>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</si>
  <si>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</si>
  <si>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</si>
  <si>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</si>
  <si>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</si>
  <si>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</si>
  <si>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</si>
  <si>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</si>
  <si>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</si>
  <si>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</si>
  <si>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</si>
  <si>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</si>
  <si>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</si>
  <si>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</si>
  <si>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</si>
  <si>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</si>
  <si>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</si>
  <si>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</si>
  <si>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</si>
  <si>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</si>
  <si>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</si>
  <si>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</si>
  <si>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</si>
  <si>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</si>
  <si>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</si>
  <si>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</si>
  <si>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</si>
  <si>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</si>
  <si>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</si>
  <si>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</si>
  <si>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</si>
  <si>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</si>
  <si>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</si>
  <si>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</si>
  <si>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</si>
  <si>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</si>
  <si>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</si>
  <si>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</si>
  <si>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</si>
  <si>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</si>
  <si>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</si>
  <si>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</si>
  <si>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</si>
  <si>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</si>
  <si>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</si>
  <si>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</si>
  <si>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</si>
  <si>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</si>
  <si>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</si>
  <si>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</si>
  <si>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</si>
  <si>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</si>
  <si>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</si>
  <si>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</si>
  <si>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</si>
  <si>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</si>
  <si>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</si>
  <si>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</si>
  <si>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</si>
  <si>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</si>
  <si>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</si>
  <si>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</si>
  <si>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</si>
  <si>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</si>
  <si>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</si>
  <si>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</si>
  <si>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</si>
  <si>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</si>
  <si>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</si>
  <si>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</si>
  <si>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</si>
  <si>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</si>
  <si>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</si>
  <si>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</si>
  <si>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</si>
  <si>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</si>
  <si>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</si>
  <si>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</si>
  <si>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</si>
  <si>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</si>
  <si>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</si>
  <si>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</si>
  <si>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</si>
  <si>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</si>
  <si>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</si>
  <si>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</si>
  <si>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</si>
  <si>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</si>
  <si>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</si>
  <si>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</si>
  <si>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</si>
  <si>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</si>
  <si>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</si>
  <si>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</si>
  <si>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</si>
  <si>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</si>
  <si>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</si>
  <si>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</si>
  <si>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</si>
  <si>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</si>
  <si>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</si>
  <si>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</si>
  <si>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</si>
  <si>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</si>
  <si>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</si>
  <si>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</si>
  <si>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</si>
  <si>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</si>
  <si>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</si>
  <si>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</si>
  <si>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</si>
  <si>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</si>
  <si>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</si>
  <si>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</si>
  <si>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</si>
  <si>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</si>
  <si>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</si>
  <si>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</si>
  <si>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</si>
  <si>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</si>
  <si>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</si>
  <si>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</si>
  <si>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</si>
  <si>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</si>
  <si>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</si>
  <si>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</si>
  <si>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</si>
  <si>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</si>
  <si>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</si>
  <si>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</si>
  <si>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</si>
  <si>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</si>
  <si>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</si>
  <si>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</si>
  <si>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</si>
  <si>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</si>
  <si>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</si>
  <si>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</si>
  <si>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</si>
  <si>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</si>
  <si>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</si>
  <si>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</si>
  <si>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</si>
  <si>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</si>
  <si>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</si>
  <si>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</si>
  <si>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</si>
  <si>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</si>
  <si>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</si>
  <si>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</si>
  <si>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</si>
  <si>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</si>
  <si>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</si>
  <si>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</si>
  <si>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</si>
  <si>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</si>
  <si>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</si>
  <si>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</si>
  <si>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</si>
  <si>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</si>
  <si>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</si>
  <si>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</si>
  <si>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</si>
  <si>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</si>
  <si>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</si>
  <si>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</si>
  <si>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</si>
  <si>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</si>
  <si>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</si>
  <si>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</si>
  <si>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</si>
  <si>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</si>
  <si>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</si>
  <si>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</si>
  <si>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</si>
  <si>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</si>
  <si>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</si>
  <si>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</si>
  <si>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</si>
  <si>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</si>
  <si>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</si>
  <si>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</si>
  <si>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</si>
  <si>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</si>
  <si>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</si>
  <si>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</si>
  <si>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</si>
  <si>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</si>
  <si>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</si>
  <si>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</si>
  <si>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</si>
  <si>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</si>
  <si>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</si>
  <si>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</si>
  <si>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</si>
  <si>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</si>
  <si>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</si>
  <si>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</si>
  <si>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</si>
  <si>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</si>
  <si>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</si>
  <si>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</si>
  <si>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</si>
  <si>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</si>
  <si>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</si>
  <si>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</si>
  <si>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</si>
  <si>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</si>
  <si>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</si>
  <si>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</si>
  <si>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</si>
  <si>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</si>
  <si>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</si>
  <si>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</si>
  <si>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</si>
  <si>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</si>
  <si>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</si>
  <si>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</si>
  <si>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</si>
  <si>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</si>
  <si>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</si>
  <si>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</si>
  <si>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</si>
  <si>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</si>
  <si>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</si>
  <si>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</si>
  <si>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</si>
  <si>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</si>
  <si>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</si>
  <si>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</si>
  <si>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</si>
  <si>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</si>
  <si>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</si>
  <si>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</si>
  <si>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</si>
  <si>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</si>
  <si>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</si>
  <si>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</si>
  <si>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</si>
  <si>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</si>
  <si>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</si>
  <si>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</si>
  <si>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</si>
  <si>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</si>
  <si>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</si>
  <si>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</si>
  <si>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</si>
  <si>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</si>
  <si>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</si>
  <si>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</si>
  <si>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</si>
  <si>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</si>
  <si>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</si>
  <si>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</si>
  <si>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</si>
  <si>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</si>
  <si>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</si>
  <si>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</si>
  <si>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</si>
  <si>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</si>
  <si>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</si>
  <si>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</si>
  <si>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</si>
  <si>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</si>
  <si>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</si>
  <si>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</si>
  <si>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</si>
  <si>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</si>
  <si>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</si>
  <si>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</si>
  <si>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</si>
  <si>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</si>
  <si>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</si>
  <si>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</si>
  <si>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</si>
  <si>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</si>
  <si>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</si>
  <si>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</si>
  <si>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</si>
  <si>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</si>
  <si>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</si>
  <si>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</si>
  <si>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</si>
  <si>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</si>
  <si>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</si>
  <si>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</si>
  <si>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</si>
  <si>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</si>
  <si>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</si>
  <si>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</si>
  <si>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</si>
  <si>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</si>
  <si>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</si>
  <si>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</si>
  <si>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</si>
  <si>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</si>
  <si>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</si>
  <si>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</si>
  <si>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</si>
  <si>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</si>
  <si>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</si>
  <si>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</si>
  <si>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</si>
  <si>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</si>
  <si>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</si>
  <si>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</si>
  <si>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</si>
  <si>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</si>
  <si>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</si>
  <si>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</si>
  <si>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</si>
  <si>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</si>
  <si>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</si>
  <si>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</si>
  <si>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</si>
  <si>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</si>
  <si>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</si>
  <si>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</si>
  <si>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</si>
  <si>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</si>
  <si>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</si>
  <si>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</si>
  <si>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</si>
  <si>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</si>
  <si>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</si>
  <si>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</si>
  <si>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</si>
  <si>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</si>
  <si>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</si>
  <si>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</si>
  <si>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</si>
  <si>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</si>
  <si>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</si>
  <si>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</si>
  <si>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</si>
  <si>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</si>
  <si>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</si>
  <si>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</si>
  <si>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</si>
  <si>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</si>
  <si>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</si>
  <si>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</si>
  <si>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</si>
  <si>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</si>
  <si>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</si>
  <si>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</si>
  <si>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</si>
  <si>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</si>
  <si>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</si>
  <si>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</si>
  <si>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</si>
  <si>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</si>
  <si>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</si>
  <si>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</si>
  <si>
    <t>ALMOXARIFADO DE MATERIAIS - COMPEL SG</t>
  </si>
  <si>
    <t>LAÇO PRE AÇO CA 1/0 PM2276 TIP</t>
  </si>
  <si>
    <t>CX BLIND MONO,BIF TQ RETANG</t>
  </si>
  <si>
    <t>CINTA POSTE CIRC. D350MM,DED-0</t>
  </si>
  <si>
    <t>CINTA POSTE CIRC. D390MM,DED-0</t>
  </si>
  <si>
    <t>CINTA,DT,AL,180MM,D90420.0</t>
  </si>
  <si>
    <t>KIMANTA FITA AUTO ADERENTE ALUMINIZADA Material não padronizado</t>
  </si>
  <si>
    <t>TORRES METÁLICAS DE AÇO PARA LTS</t>
  </si>
  <si>
    <t>PINO PARA ISOLADOR DE PINO DE</t>
  </si>
  <si>
    <t>DUTO POLIETILENO 200MM,PM-1838 I4 (valor por metro)</t>
  </si>
  <si>
    <t>Código</t>
  </si>
  <si>
    <t>Descrição</t>
  </si>
  <si>
    <t>ABRAÇADEIRA NYLON 203mm DDT-17</t>
  </si>
  <si>
    <t>ABRAÇADEIRA NYLON 390MM DDT-17</t>
  </si>
  <si>
    <t>ABRAÇADEIRA NYLON 760mm DDT-17</t>
  </si>
  <si>
    <t>ABRAÇADEIRA P/CB POTENCIA,DED-</t>
  </si>
  <si>
    <t>ALCA PRE PROT 185mm² PM2276 TI</t>
  </si>
  <si>
    <t>ALCA PRE CONC 16mm² PM2276 TIP</t>
  </si>
  <si>
    <t>ALCA PRE CONC.BI 10 PM2276 TIP</t>
  </si>
  <si>
    <t xml:space="preserve">ALCA PREF AAAC 25 PM2276 TIPO </t>
  </si>
  <si>
    <t xml:space="preserve">ALCA PREF AAAC 70 PM2276 TIPO </t>
  </si>
  <si>
    <t xml:space="preserve">ALCA PREF AAAC 50 PM2276 TIPO </t>
  </si>
  <si>
    <t>ALCA PRE CONC 10mm² PM2276 TIP</t>
  </si>
  <si>
    <t>ALCA PREF CAL 70mm² PM2276 TIP</t>
  </si>
  <si>
    <t>ALCA PRE AAAC 160mm²PM2276 TIP</t>
  </si>
  <si>
    <t>ALCA PRE AAAC 70mm² PM2276 TIP</t>
  </si>
  <si>
    <t>ALCA PRE AAAC 25mm² PM2276 TIP</t>
  </si>
  <si>
    <t>ALCA PRE AAAC 50mm² PM2276 TIP</t>
  </si>
  <si>
    <t>ALCA PREF CA 1/0 AWG PM2276 TI</t>
  </si>
  <si>
    <t>ALCA PRE CA 336,4MCM PM2276 TI</t>
  </si>
  <si>
    <t>ALCA PREF CA 2 AWG PM2276 TIPO</t>
  </si>
  <si>
    <t>ALCA PRE CONC.BI 16 PM2276 TIP</t>
  </si>
  <si>
    <t>ALCA PREF MR 7,9mm PM2276 TIPO</t>
  </si>
  <si>
    <t>ALCA PREF MR 9,5mm PM2276 TIPO</t>
  </si>
  <si>
    <t>ALCA PREF PROT 35mm² PM2276 TI</t>
  </si>
  <si>
    <t>ALCA PREF PROT 50mm² PM2276 TI</t>
  </si>
  <si>
    <t>ALCA,PREF ACO,CB PRE-REUN,50MM</t>
  </si>
  <si>
    <t>ALCA,PREF AÇO,CB CONC BIP 4MM,</t>
  </si>
  <si>
    <t>ALCA PREF CONC.BI 6 PM2276 TIP</t>
  </si>
  <si>
    <t>ALCA,PREF ACO,CB PRE-REUN 35MM</t>
  </si>
  <si>
    <t>ALÇA,PREF AÇO,CB PRE-REUN,95MM</t>
  </si>
  <si>
    <t>ALCA,PREF ACO,CB CONC BIP 6MM²</t>
  </si>
  <si>
    <t>ALCA,PREFORM.CB CA 4/0AWG,DQN-</t>
  </si>
  <si>
    <t>ANEL,AMARRAÇÃO,ISOLAD.PINO-DED</t>
  </si>
  <si>
    <t>ARMAÇÃO SEC. DUPLA LIGA AL.DED</t>
  </si>
  <si>
    <t>ARMAÇÃO SEC.SIMPLES;LIGA AL.DE</t>
  </si>
  <si>
    <t>ARMAÇÃO SECUNDÁRIA DUPLA,DED-0</t>
  </si>
  <si>
    <t>ARMAÇÃO SECUNDÁRIA SIMPLES, DE</t>
  </si>
  <si>
    <t>ARRUELA LIGA DE ALUMÍNIO DED-1</t>
  </si>
  <si>
    <t>ARRUELA LISA QUADRADA, DED-003</t>
  </si>
  <si>
    <t>BRAÇO TIPO ""C"", 580MM RC, PM</t>
  </si>
  <si>
    <t>BRAÇO TIPO ""L"", 354MM RC, DE</t>
  </si>
  <si>
    <t>BRAÇO,ANTI-BAL,SPACER,15KV,D53</t>
  </si>
  <si>
    <t>CANTONEIRA P/BRAÇO TIPO "C",DE</t>
  </si>
  <si>
    <t xml:space="preserve">CANTONEIRA P/BRAÇO TIPO ""C"" </t>
  </si>
  <si>
    <t>CINTA AJUST.POSTE,BAP2,800MM-D</t>
  </si>
  <si>
    <t>CINTA AJUST.POSTE,BAP3,1200MM-</t>
  </si>
  <si>
    <t>CINTA P/POSTE CIRC 290MM, DED-</t>
  </si>
  <si>
    <t>CINTA P/POSTE CIRC 310MM, DED-</t>
  </si>
  <si>
    <t>CINTA P/POSTE CIRC 330MM DED-0</t>
  </si>
  <si>
    <t>CINTA P/POSTE CIRC.150MM, DED-</t>
  </si>
  <si>
    <t>CINTA P/POSTE CIRC.170MM, DED-</t>
  </si>
  <si>
    <t>CINTA P/POSTE CIRC.210MM, DED-</t>
  </si>
  <si>
    <t>CINTA P/POSTE CIRC.230MM, DED-</t>
  </si>
  <si>
    <t>CINTA P/POSTE CIRC.250MM, DED-</t>
  </si>
  <si>
    <t>CINTA P/POSTE CIRC.270MM, DED-</t>
  </si>
  <si>
    <t>CINTA POSTE CIRC. AL190MM - BL</t>
  </si>
  <si>
    <t>CINTA POSTE CIRC. D190MM,DED-0</t>
  </si>
  <si>
    <t>CINTA POSTE CIRC.AL 170MM - BL</t>
  </si>
  <si>
    <t>CINTA POSTE CIRC.AL 180MM PM-1</t>
  </si>
  <si>
    <t>CINTA POSTE CIRC.AL 200MM PM-1</t>
  </si>
  <si>
    <t>CINTA POSTE CIRC.AL 210MM - BL</t>
  </si>
  <si>
    <t>CINTA POSTE CIRC.AL 220MM PM-1</t>
  </si>
  <si>
    <t>CINTA POSTE CIRC.AL 310MM PM-1</t>
  </si>
  <si>
    <t>CINTA, POSTE DT 140X180MM DED-</t>
  </si>
  <si>
    <t>CINTA, POSTE DT 160X210MM DED-</t>
  </si>
  <si>
    <t>CINTA, POSTE DT 180X240MM DED-</t>
  </si>
  <si>
    <t>CINTA, POSTE DT 200X260MM DED-</t>
  </si>
  <si>
    <t>ELETRODUTO PVC,SOLD,20MM, DDT1</t>
  </si>
  <si>
    <t>ESPACADOR LOSANG RC,15KV,PM176</t>
  </si>
  <si>
    <t>ETIQUETA IDENTIFICADORA N° 2,P</t>
  </si>
  <si>
    <t>ETIQUETA IDENTIFICADORA N°0,PM</t>
  </si>
  <si>
    <t>ETIQUETA IDENTIFICADORA N°1,PM</t>
  </si>
  <si>
    <t>ETIQUETA IDENTIFICADORA N°3,PM</t>
  </si>
  <si>
    <t>ETIQUETA IDENTIFICADORA N°4,PM</t>
  </si>
  <si>
    <t>ETIQUETA IDENTIFICADORA N°5,PM</t>
  </si>
  <si>
    <t>ETIQUETA IDENTIFICADORA N°6,PM</t>
  </si>
  <si>
    <t>ETIQUETA IDENTIFICADORA N°7,PM</t>
  </si>
  <si>
    <t>ETIQUETA IDENTIFICADORA N°8,PM</t>
  </si>
  <si>
    <t>ETIQUETA IDENTIFICADORA N°9,PM</t>
  </si>
  <si>
    <t>FITA ISOL. AT-0,76MM-19MMX10M,</t>
  </si>
  <si>
    <t>FITA,ABRAÇ.AÇO INOX,DQN-1964 R</t>
  </si>
  <si>
    <t>GRAMPO LINHA VIVA, DED- 0106 R</t>
  </si>
  <si>
    <t>GRAMPO SUSP TRI-ARTIC P/ CB AL</t>
  </si>
  <si>
    <t>HASTE ATERRAMENTO,ACO CU,5/8PO</t>
  </si>
  <si>
    <t>KIMANTA FITA AUTO ADERENTE ALU</t>
  </si>
  <si>
    <t>LAÇO MENS 7,9mm PM2276 TIPO XI</t>
  </si>
  <si>
    <t>LAÇO MENS 9,5mm PM2276 TIPO XI</t>
  </si>
  <si>
    <t>LAÇO PRE AÇO CAL 50 PM2276 TIP</t>
  </si>
  <si>
    <t>TORRES METÁLICAS DE AÇO PARA L</t>
  </si>
  <si>
    <t>LAÇO PRE AÇO CAL  70 PM2276 TI</t>
  </si>
  <si>
    <t>MANILHA, REDE COMPACTA, DED-17</t>
  </si>
  <si>
    <t>MAO FRANC.PERFIL LG AL,1971MM,</t>
  </si>
  <si>
    <t>MAO FRANC.PERFIL LG AL,2548MM,</t>
  </si>
  <si>
    <t>MÃO FRANC.PLANA C/619MM,DED-00</t>
  </si>
  <si>
    <t>MAO FRANCESA PERFIL LG AL,993M</t>
  </si>
  <si>
    <t>MAO FRANCESA PERFILADA,1534MM,</t>
  </si>
  <si>
    <t>MAO FRANCESA PERFILADA,1971MM,</t>
  </si>
  <si>
    <t>MAO FRANCESA PERFILADA,2548MM,</t>
  </si>
  <si>
    <t>MAO FRANCESA PERFILADA,993MM,P</t>
  </si>
  <si>
    <t>MÃO FRANCESA PLANA LIGA AL. DE</t>
  </si>
  <si>
    <t>PARAF.CAB.ABAU.45X38X16MM,DED-</t>
  </si>
  <si>
    <t>PARAF ROSC  DUP AL 400X175X16M</t>
  </si>
  <si>
    <t>PARAF ROSC DUP  AL 450X200X16M</t>
  </si>
  <si>
    <t>PARAF ROSC DUP AL 500X225X16MM</t>
  </si>
  <si>
    <t>PARAF ROSC DUP AL 550X250X16MM</t>
  </si>
  <si>
    <t>PARAF ROSC DUP AL 600X275X16MM</t>
  </si>
  <si>
    <t>PARAF ROSC DUPL 450X200X16MM D</t>
  </si>
  <si>
    <t>PARAF ROSC DUPL 500X225X16MM D</t>
  </si>
  <si>
    <t>PARAF ROSC DUPL 550X250X16MM D</t>
  </si>
  <si>
    <t>PARAF ROSC DUPL 600X275X16MM D</t>
  </si>
  <si>
    <t xml:space="preserve">PARAF ROSC DUPLA 400X175X16MM </t>
  </si>
  <si>
    <t>PARAF.CAB.QUA. AL 400X320X16MM</t>
  </si>
  <si>
    <t>PARAF,CAB.QUADR.450X370X16MM-D</t>
  </si>
  <si>
    <t>PARAF,CAB.QUADR.500X420X16MM-D</t>
  </si>
  <si>
    <t>PARAF.CAB.ABAU.70X60X16MM,DED-</t>
  </si>
  <si>
    <t>PARAF.CAB.QUA.125X80X16MM,DED-</t>
  </si>
  <si>
    <t>PARAF.CAB.QUA.300X220X16MM,DED</t>
  </si>
  <si>
    <t>PARAF.CAB.QUA.150X80X16MM,DED-</t>
  </si>
  <si>
    <t>PARAF.C.LIMÃO C/FENDA FE ZINC.</t>
  </si>
  <si>
    <t>PARAF.CAB.ABAU.150X75X16MM,DED</t>
  </si>
  <si>
    <t xml:space="preserve">PARAF.CAB.QUA. AL300X220X16MM </t>
  </si>
  <si>
    <t>PARAF.CAB.QUA.200X120X16MM,DED</t>
  </si>
  <si>
    <t>PARAF.CAB.QUA.250X170X16MM,DED</t>
  </si>
  <si>
    <t>PARAF.CAB.QUA.350X270X16MM DED</t>
  </si>
  <si>
    <t>PARAF.CAB.QUA.400X320X16MM,DED</t>
  </si>
  <si>
    <t>PARAF.CAB.QUAD AL150X80X16MM D</t>
  </si>
  <si>
    <t>PARAF.CAB.QUAD.50X35X16MM DED-</t>
  </si>
  <si>
    <t>PARAF.CAB.QUAD.AL 50X35X16MM D</t>
  </si>
  <si>
    <t>PARAF.CAB.QUAD.AL125X80X16MM D</t>
  </si>
  <si>
    <t xml:space="preserve">PARAF.CAB.QUAD.AL250X170X16MM </t>
  </si>
  <si>
    <t>PARAF.CAB.QUAD.LIGA AL 600X520</t>
  </si>
  <si>
    <t>PARAF.CABEÇA ABAUL.LIGA AL.DED</t>
  </si>
  <si>
    <t>PARAF.CABEÇA SEXT.AÇO INOX M12</t>
  </si>
  <si>
    <t xml:space="preserve">PARAF.SEXT.AÇO GALV.1/2(12MM) </t>
  </si>
  <si>
    <t xml:space="preserve">Parafuso (cabeça philips) 1/4 </t>
  </si>
  <si>
    <t>Parafuso de fenda fe m3 x 20mm</t>
  </si>
  <si>
    <t>PARAF.FENDA,CAB.PLANA 5,0X50MM</t>
  </si>
  <si>
    <t>PARAF.AUTO ATARRACHANTE,FE ZIN</t>
  </si>
  <si>
    <t>PARAF.CABÇ.CILÍND.FENDA FE ZIN</t>
  </si>
  <si>
    <t>PARAF.C.REDONDA 3/16X1/2p C/AR</t>
  </si>
  <si>
    <t>PARAFUSO, CABEÇA QUAD. LIGA AL</t>
  </si>
  <si>
    <t>PARAFUSO, CABECA SEXTAVADA AÇO</t>
  </si>
  <si>
    <t>PÁRA-RAIOS,12KV/10KA POLIM.DED</t>
  </si>
  <si>
    <t>PARASUFO CABEÇA SEXTAVADA EXTE</t>
  </si>
  <si>
    <t>SUPORTE MEDIÇAO EM CRUZETA,PM-</t>
  </si>
  <si>
    <t>PERFIL,""U"" 900MM,ACO, PM-195</t>
  </si>
  <si>
    <t>PINO CURTO ISOL.192X16MM RC DE</t>
  </si>
  <si>
    <t>PINO TOPO,ISOL PILAR,LIGA AL,P</t>
  </si>
  <si>
    <t>PINO,ISOLADOR PILAR,PM-1829 I2</t>
  </si>
  <si>
    <t>PRENSA-CABO ROSQ;CB3X7,9-9,6MM</t>
  </si>
  <si>
    <t>PRENSA-CABO ROSQ,CB 13-18MM,PM</t>
  </si>
  <si>
    <t>PRENSA-CABO ROSQ;CB 6-12MM,PM-</t>
  </si>
  <si>
    <t>PROTETOR BUCHA 15KV RD COMPACT</t>
  </si>
  <si>
    <t xml:space="preserve">PROTETOR ESTRI GRAMP LIN VIVA </t>
  </si>
  <si>
    <t>SAPATILHA,ESTAI, AÇO PM-0048 I</t>
  </si>
  <si>
    <t>SELA, CRUZETA LIGA ALUMÍNIO, D</t>
  </si>
  <si>
    <t>SUPOR TRAFO POSTE CIRC.225MM D</t>
  </si>
  <si>
    <t>SUPOR,TRAFO POSTE CIRC.210MM D</t>
  </si>
  <si>
    <t>SUPOR,TRAFO POSTE CIRC.255MM-D</t>
  </si>
  <si>
    <t>SUPORTE AFAST HORIZ (675X300MM</t>
  </si>
  <si>
    <t>SUPORTE AFAST HORIZ(1250X450MM</t>
  </si>
  <si>
    <t>SUPORTE P/SECCION UNIPOLAR;PM-</t>
  </si>
  <si>
    <t>SUPORTE PROLONG.CONCENTR.MEDIÇ</t>
  </si>
  <si>
    <t>SUPORTE,CH.C.CIRCUIT/P.RAIOS D</t>
  </si>
  <si>
    <t>SUPORTE,FIXAÇÃO RELE/REATOR,IP</t>
  </si>
  <si>
    <t>SUPORTE,TRANSF.POSTE DT160X210</t>
  </si>
  <si>
    <t>SUPORTE,TRANSF.POSTE DT170X230</t>
  </si>
  <si>
    <t>SUPORTE,TRANSF.POSTE DT180X250</t>
  </si>
  <si>
    <t>SUPORTE PARAFUSO,ABRAÇAD NYLON</t>
  </si>
  <si>
    <t>HASTE ATERRAMENTO GALVANIZADA,</t>
  </si>
  <si>
    <t>FITA ISOL PVC 0,18X19MMX20M,NB</t>
  </si>
  <si>
    <t xml:space="preserve">BARRAMENTO TRIFÁSICO DED-1842 </t>
  </si>
  <si>
    <t>ALCA PREF CAL 50mm² PM2276 TIP</t>
  </si>
  <si>
    <t>ALCA PREF CONC 6mm² PM2276 TIP</t>
  </si>
  <si>
    <t xml:space="preserve">TRAVA P/ ABRAÇADEIRA AÇO INOX </t>
  </si>
  <si>
    <t xml:space="preserve">CINTA, METÁLICA 12,5MM - ROLO </t>
  </si>
  <si>
    <t>HASTE ATERRAMENTO,ACO CU,3/4PO</t>
  </si>
  <si>
    <t>DUTO POLIETILENO 160MM,PM-1838</t>
  </si>
  <si>
    <t>DUTO POLIETILENO 200MM,PM-1838</t>
  </si>
  <si>
    <t>ALÇA OLHAL CB 185MM ISOLADO DE</t>
  </si>
  <si>
    <t>CABO PRE-REUN AL,3X25+35MM²,PM</t>
  </si>
  <si>
    <t>CABO,NU,CAA,336MCM,LINNET,A,D2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</si>
</sst>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2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7" xfId="0" applyBorder="1"/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1"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D9EB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  <xdr:twoCellAnchor>
    <xdr:from>
      <xdr:col>1</xdr:col>
      <xdr:colOff>201083</xdr:colOff>
      <xdr:row>1</xdr:row>
      <xdr:rowOff>10583</xdr:rowOff>
    </xdr:from>
    <xdr:to>
      <xdr:col>3</xdr:col>
      <xdr:colOff>287867</xdr:colOff>
      <xdr:row>2</xdr:row>
      <xdr:rowOff>280458</xdr:rowOff>
    </xdr:to>
    <xdr:sp macro="" textlink="">
      <xdr:nvSpPr>
        <xdr:cNvPr id="6" name="Rectangle 2" descr="LOGOCOMP"/>
        <xdr:cNvSpPr>
          <a:spLocks noChangeArrowheads="1"/>
        </xdr:cNvSpPr>
      </xdr:nvSpPr>
      <xdr:spPr bwMode="auto">
        <a:xfrm>
          <a:off x="254000" y="63500"/>
          <a:ext cx="933450" cy="61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anejamento%20SG/Desktop/FluxoObraPadrao4.0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_Solicitação_Material"/>
      <sheetName val="Codigo_Material"/>
      <sheetName val="Materiais_COMPEL"/>
      <sheetName val="Status"/>
      <sheetName val="Centros_SAP"/>
    </sheetNames>
    <sheetDataSet>
      <sheetData sheetId="0"/>
      <sheetData sheetId="1"/>
      <sheetData sheetId="2"/>
      <sheetData sheetId="3">
        <row r="2">
          <cell r="A2" t="str">
            <v>OK - Material Disponível</v>
          </cell>
        </row>
        <row r="3">
          <cell r="A3" t="str">
            <v>NOK - Material Sem Saldo Físico</v>
          </cell>
        </row>
        <row r="4">
          <cell r="A4" t="str">
            <v>NOK - Atendido Parcial - Material Sem Saldo Físico</v>
          </cell>
        </row>
        <row r="5">
          <cell r="A5" t="str">
            <v>NOK - Atendido Parcial - Qtde do Pedido SAP não Atende</v>
          </cell>
        </row>
        <row r="6">
          <cell r="A6" t="str">
            <v>NOK - Pedido SAP não Informado</v>
          </cell>
        </row>
        <row r="7">
          <cell r="A7" t="str">
            <v>NOK - Pedido SAP criado para outro Centro</v>
          </cell>
        </row>
        <row r="8">
          <cell r="A8" t="str">
            <v>NOK - Material Indisponível no Pedido SAP</v>
          </cell>
        </row>
        <row r="9">
          <cell r="A9" t="str">
            <v>NOK - Material Segregado para Outro Processo</v>
          </cell>
        </row>
        <row r="10">
          <cell r="A10" t="str">
            <v>NOK - Material Não Estocável no Centro</v>
          </cell>
        </row>
        <row r="11">
          <cell r="A11" t="str">
            <v>NOK - Material Não Estocável no Centro - IMPUTADO</v>
          </cell>
        </row>
        <row r="12">
          <cell r="A12" t="str">
            <v>NOK - Pedido SAP Apresentou Orçamento Excedido</v>
          </cell>
        </row>
        <row r="13">
          <cell r="A13" t="str">
            <v>NOK - Pedido SAP Apresentou Erro na Baixa</v>
          </cell>
        </row>
        <row r="14">
          <cell r="A14" t="str">
            <v>NOK - Outros</v>
          </cell>
        </row>
      </sheetData>
      <sheetData sheetId="4">
        <row r="2">
          <cell r="B2" t="str">
            <v>K0B0</v>
          </cell>
        </row>
        <row r="3">
          <cell r="B3" t="str">
            <v>K1B4</v>
          </cell>
        </row>
        <row r="4">
          <cell r="B4" t="str">
            <v>K0B1</v>
          </cell>
        </row>
        <row r="5">
          <cell r="B5" t="str">
            <v>K0B2</v>
          </cell>
        </row>
        <row r="6">
          <cell r="B6" t="str">
            <v>K0B3</v>
          </cell>
        </row>
        <row r="7">
          <cell r="B7" t="str">
            <v>K0B4</v>
          </cell>
        </row>
        <row r="8">
          <cell r="B8" t="str">
            <v>K0B5</v>
          </cell>
        </row>
        <row r="9">
          <cell r="B9" t="str">
            <v>K0B7</v>
          </cell>
        </row>
        <row r="10">
          <cell r="B10" t="str">
            <v>K1B1</v>
          </cell>
        </row>
        <row r="11">
          <cell r="B11" t="str">
            <v>K1B2</v>
          </cell>
        </row>
        <row r="12">
          <cell r="B12" t="str">
            <v>K1B3</v>
          </cell>
        </row>
        <row r="13">
          <cell r="B13" t="str">
            <v>K1B5</v>
          </cell>
        </row>
        <row r="14">
          <cell r="B14" t="str">
            <v>K1B6</v>
          </cell>
        </row>
        <row r="15">
          <cell r="B15" t="str">
            <v>K1B7</v>
          </cell>
        </row>
        <row r="16">
          <cell r="B16" t="str">
            <v>K1B8</v>
          </cell>
        </row>
        <row r="17">
          <cell r="B17" t="str">
            <v>K1B9</v>
          </cell>
        </row>
        <row r="18">
          <cell r="B18" t="str">
            <v>K2B0</v>
          </cell>
        </row>
        <row r="19">
          <cell r="B19" t="str">
            <v>K2B1</v>
          </cell>
        </row>
        <row r="20">
          <cell r="B20" t="str">
            <v>K2B2</v>
          </cell>
        </row>
        <row r="21">
          <cell r="B21" t="str">
            <v>K2B3</v>
          </cell>
        </row>
        <row r="22">
          <cell r="B22" t="str">
            <v>K3B0</v>
          </cell>
        </row>
        <row r="23">
          <cell r="B23" t="str">
            <v>K3B1</v>
          </cell>
        </row>
        <row r="24">
          <cell r="B24" t="str">
            <v>K3B2</v>
          </cell>
        </row>
        <row r="25">
          <cell r="B25" t="str">
            <v>K3B3</v>
          </cell>
        </row>
        <row r="26">
          <cell r="B26" t="str">
            <v>K3B4</v>
          </cell>
        </row>
        <row r="27">
          <cell r="B27" t="str">
            <v>K3B5</v>
          </cell>
        </row>
        <row r="28">
          <cell r="B28" t="str">
            <v>K3B6</v>
          </cell>
        </row>
        <row r="29">
          <cell r="B29" t="str">
            <v>K3B7</v>
          </cell>
        </row>
        <row r="30">
          <cell r="B30" t="str">
            <v>K3B8</v>
          </cell>
        </row>
        <row r="31">
          <cell r="B31" t="str">
            <v>K3B9</v>
          </cell>
        </row>
        <row r="32">
          <cell r="B32" t="str">
            <v>K4B0</v>
          </cell>
        </row>
        <row r="33">
          <cell r="B33" t="str">
            <v>K4B3</v>
          </cell>
        </row>
        <row r="34">
          <cell r="B34" t="str">
            <v>K4B4</v>
          </cell>
        </row>
        <row r="35">
          <cell r="B35" t="str">
            <v>K4B5</v>
          </cell>
        </row>
        <row r="36">
          <cell r="B36" t="str">
            <v>K4B6</v>
          </cell>
        </row>
        <row r="37">
          <cell r="B37" t="str">
            <v>K4B7</v>
          </cell>
        </row>
        <row r="38">
          <cell r="B38" t="str">
            <v>K4B8</v>
          </cell>
        </row>
        <row r="39">
          <cell r="B39" t="str">
            <v>K4B9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K7" sqref="K7:M7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21.28515625" style="26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6" t="s">
        <v>6224</v>
      </c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T2" s="28"/>
    </row>
    <row r="3" spans="1:20" ht="23.25" customHeight="1" x14ac:dyDescent="0.25">
      <c r="A3" s="27"/>
      <c r="B3" s="29"/>
      <c r="C3" s="30"/>
      <c r="D3" s="31"/>
      <c r="E3" s="79" t="s">
        <v>6514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82" t="s">
        <v>0</v>
      </c>
      <c r="C5" s="83"/>
      <c r="D5" s="16" t="s">
        <v>6215</v>
      </c>
      <c r="E5" s="34" t="s">
        <v>2</v>
      </c>
      <c r="F5" s="17" t="s">
        <v>6495</v>
      </c>
      <c r="G5" s="35" t="s">
        <v>3</v>
      </c>
      <c r="H5" s="84"/>
      <c r="I5" s="85"/>
      <c r="J5" s="35" t="s">
        <v>4</v>
      </c>
      <c r="K5" s="84" t="s">
        <v>6496</v>
      </c>
      <c r="L5" s="86"/>
      <c r="M5" s="86"/>
      <c r="N5" s="85"/>
      <c r="O5" s="87" t="s">
        <v>5</v>
      </c>
      <c r="P5" s="88"/>
      <c r="Q5" s="84"/>
      <c r="R5" s="86"/>
      <c r="S5" s="85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82" t="s">
        <v>6</v>
      </c>
      <c r="C7" s="83"/>
      <c r="D7" s="89" t="str">
        <f>IF(D5="","",VLOOKUP(D5,Centros_SAP!$B$2:$E$50,4,0))</f>
        <v>COMPEL II - SÃO GONÇALO</v>
      </c>
      <c r="E7" s="90"/>
      <c r="F7" s="90"/>
      <c r="G7" s="90"/>
      <c r="H7" s="90"/>
      <c r="I7" s="91"/>
      <c r="J7" s="39" t="s">
        <v>7</v>
      </c>
      <c r="K7" s="73"/>
      <c r="L7" s="74"/>
      <c r="M7" s="75"/>
      <c r="N7" s="82" t="s">
        <v>8</v>
      </c>
      <c r="O7" s="83"/>
      <c r="P7" s="18"/>
      <c r="Q7" s="39" t="s">
        <v>9</v>
      </c>
      <c r="R7" s="66"/>
      <c r="S7" s="67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8" t="s">
        <v>11</v>
      </c>
      <c r="D9" s="69"/>
      <c r="E9" s="42" t="s">
        <v>12</v>
      </c>
      <c r="F9" s="42" t="s">
        <v>13</v>
      </c>
      <c r="G9" s="42" t="s">
        <v>14</v>
      </c>
      <c r="H9" s="41" t="s">
        <v>15</v>
      </c>
      <c r="I9" s="68" t="s">
        <v>16</v>
      </c>
      <c r="J9" s="69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70" t="s">
        <v>22</v>
      </c>
      <c r="Q9" s="71"/>
      <c r="R9" s="72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8" t="str">
        <f>IF($F$5="","",$F$5)</f>
        <v>OBRA</v>
      </c>
      <c r="D10" s="58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9" t="str">
        <f>IF(H10="","",MID(VLOOKUP(H10,Codigo_Material!$A$2:$C$9999,2,0),1,30))</f>
        <v/>
      </c>
      <c r="J10" s="59"/>
      <c r="K10" s="21" t="str">
        <f>IF(H10="","",MID(VLOOKUP(H10,Codigo_Material!$A$2:$C$6426,3,0),1,25))</f>
        <v/>
      </c>
      <c r="L10" s="19"/>
      <c r="M10" s="20"/>
      <c r="N10" s="1"/>
      <c r="O10" s="2"/>
      <c r="P10" s="60"/>
      <c r="Q10" s="60"/>
      <c r="R10" s="60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8" t="str">
        <f t="shared" ref="C11:C74" si="1">IF($F$5="","",$F$5)</f>
        <v>OBRA</v>
      </c>
      <c r="D11" s="58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9" t="str">
        <f>IF(H11="","",MID(VLOOKUP(H11,Codigo_Material!$A$2:$C$9999,2,0),1,30))</f>
        <v/>
      </c>
      <c r="J11" s="59"/>
      <c r="K11" s="21" t="str">
        <f>IF(H11="","",MID(VLOOKUP(H11,Codigo_Material!$A$2:$C$6426,3,0),1,25))</f>
        <v/>
      </c>
      <c r="L11" s="19"/>
      <c r="M11" s="20"/>
      <c r="N11" s="1"/>
      <c r="O11" s="2"/>
      <c r="P11" s="60"/>
      <c r="Q11" s="60"/>
      <c r="R11" s="60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61" t="str">
        <f t="shared" si="1"/>
        <v>OBRA</v>
      </c>
      <c r="D12" s="62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9" t="str">
        <f>IF(H12="","",MID(VLOOKUP(H12,Codigo_Material!$A$2:$C$9999,2,0),1,30))</f>
        <v/>
      </c>
      <c r="J12" s="59"/>
      <c r="K12" s="21" t="str">
        <f>IF(H12="","",MID(VLOOKUP(H12,Codigo_Material!$A$2:$C$6426,3,0),1,25))</f>
        <v/>
      </c>
      <c r="L12" s="19"/>
      <c r="M12" s="20"/>
      <c r="N12" s="1"/>
      <c r="O12" s="2"/>
      <c r="P12" s="63"/>
      <c r="Q12" s="64"/>
      <c r="R12" s="65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8" t="str">
        <f t="shared" si="1"/>
        <v>OBRA</v>
      </c>
      <c r="D13" s="58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9" t="str">
        <f>IF(H13="","",MID(VLOOKUP(H13,Codigo_Material!$A$2:$C$9999,2,0),1,30))</f>
        <v/>
      </c>
      <c r="J13" s="59"/>
      <c r="K13" s="21" t="str">
        <f>IF(H13="","",MID(VLOOKUP(H13,Codigo_Material!$A$2:$C$6426,3,0),1,25))</f>
        <v/>
      </c>
      <c r="L13" s="19"/>
      <c r="M13" s="20"/>
      <c r="N13" s="1"/>
      <c r="O13" s="2"/>
      <c r="P13" s="60"/>
      <c r="Q13" s="60"/>
      <c r="R13" s="60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8" t="str">
        <f t="shared" si="1"/>
        <v>OBRA</v>
      </c>
      <c r="D14" s="58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9" t="str">
        <f>IF(H14="","",MID(VLOOKUP(H14,Codigo_Material!$A$2:$C$9999,2,0),1,30))</f>
        <v/>
      </c>
      <c r="J14" s="59"/>
      <c r="K14" s="21" t="str">
        <f>IF(H14="","",MID(VLOOKUP(H14,Codigo_Material!$A$2:$C$6426,3,0),1,25))</f>
        <v/>
      </c>
      <c r="L14" s="19"/>
      <c r="M14" s="20"/>
      <c r="N14" s="1"/>
      <c r="O14" s="2"/>
      <c r="P14" s="60"/>
      <c r="Q14" s="60"/>
      <c r="R14" s="60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8" t="str">
        <f t="shared" si="1"/>
        <v>OBRA</v>
      </c>
      <c r="D15" s="58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9" t="str">
        <f>IF(H15="","",MID(VLOOKUP(H15,Codigo_Material!$A$2:$C$9999,2,0),1,30))</f>
        <v/>
      </c>
      <c r="J15" s="59"/>
      <c r="K15" s="21" t="str">
        <f>IF(H15="","",MID(VLOOKUP(H15,Codigo_Material!$A$2:$C$6426,3,0),1,25))</f>
        <v/>
      </c>
      <c r="L15" s="19"/>
      <c r="M15" s="20"/>
      <c r="N15" s="1"/>
      <c r="O15" s="2"/>
      <c r="P15" s="60"/>
      <c r="Q15" s="60"/>
      <c r="R15" s="60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8" t="str">
        <f t="shared" si="1"/>
        <v>OBRA</v>
      </c>
      <c r="D16" s="58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9" t="str">
        <f>IF(H16="","",MID(VLOOKUP(H16,Codigo_Material!$A$2:$C$9999,2,0),1,30))</f>
        <v/>
      </c>
      <c r="J16" s="59"/>
      <c r="K16" s="21" t="str">
        <f>IF(H16="","",MID(VLOOKUP(H16,Codigo_Material!$A$2:$C$6426,3,0),1,25))</f>
        <v/>
      </c>
      <c r="L16" s="19"/>
      <c r="M16" s="20"/>
      <c r="N16" s="1"/>
      <c r="O16" s="2"/>
      <c r="P16" s="60"/>
      <c r="Q16" s="60"/>
      <c r="R16" s="60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8" t="str">
        <f t="shared" si="1"/>
        <v>OBRA</v>
      </c>
      <c r="D17" s="58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9" t="str">
        <f>IF(H17="","",MID(VLOOKUP(H17,Codigo_Material!$A$2:$C$9999,2,0),1,30))</f>
        <v/>
      </c>
      <c r="J17" s="59"/>
      <c r="K17" s="21" t="str">
        <f>IF(H17="","",MID(VLOOKUP(H17,Codigo_Material!$A$2:$C$6426,3,0),1,25))</f>
        <v/>
      </c>
      <c r="L17" s="19"/>
      <c r="M17" s="20"/>
      <c r="N17" s="1"/>
      <c r="O17" s="2"/>
      <c r="P17" s="60"/>
      <c r="Q17" s="60"/>
      <c r="R17" s="60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8" t="str">
        <f t="shared" si="1"/>
        <v>OBRA</v>
      </c>
      <c r="D18" s="58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9" t="str">
        <f>IF(H18="","",MID(VLOOKUP(H18,Codigo_Material!$A$2:$C$9999,2,0),1,30))</f>
        <v/>
      </c>
      <c r="J18" s="59"/>
      <c r="K18" s="21" t="str">
        <f>IF(H18="","",MID(VLOOKUP(H18,Codigo_Material!$A$2:$C$6426,3,0),1,25))</f>
        <v/>
      </c>
      <c r="L18" s="19"/>
      <c r="M18" s="20"/>
      <c r="N18" s="1"/>
      <c r="O18" s="2"/>
      <c r="P18" s="60"/>
      <c r="Q18" s="60"/>
      <c r="R18" s="60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8" t="str">
        <f t="shared" si="1"/>
        <v>OBRA</v>
      </c>
      <c r="D19" s="58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9" t="str">
        <f>IF(H19="","",MID(VLOOKUP(H19,Codigo_Material!$A$2:$C$9999,2,0),1,30))</f>
        <v/>
      </c>
      <c r="J19" s="59"/>
      <c r="K19" s="21" t="str">
        <f>IF(H19="","",MID(VLOOKUP(H19,Codigo_Material!$A$2:$C$6426,3,0),1,25))</f>
        <v/>
      </c>
      <c r="L19" s="19"/>
      <c r="M19" s="20"/>
      <c r="N19" s="1"/>
      <c r="O19" s="2"/>
      <c r="P19" s="60"/>
      <c r="Q19" s="60"/>
      <c r="R19" s="60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8" t="str">
        <f t="shared" si="1"/>
        <v>OBRA</v>
      </c>
      <c r="D20" s="58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9" t="str">
        <f>IF(H20="","",MID(VLOOKUP(H20,Codigo_Material!$A$2:$C$9999,2,0),1,30))</f>
        <v/>
      </c>
      <c r="J20" s="59"/>
      <c r="K20" s="21" t="str">
        <f>IF(H20="","",MID(VLOOKUP(H20,Codigo_Material!$A$2:$C$6426,3,0),1,25))</f>
        <v/>
      </c>
      <c r="L20" s="19"/>
      <c r="M20" s="20"/>
      <c r="N20" s="1"/>
      <c r="O20" s="2"/>
      <c r="P20" s="60"/>
      <c r="Q20" s="60"/>
      <c r="R20" s="60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8" t="str">
        <f t="shared" si="1"/>
        <v>OBRA</v>
      </c>
      <c r="D21" s="58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9" t="str">
        <f>IF(H21="","",MID(VLOOKUP(H21,Codigo_Material!$A$2:$C$9999,2,0),1,30))</f>
        <v/>
      </c>
      <c r="J21" s="59"/>
      <c r="K21" s="21" t="str">
        <f>IF(H21="","",MID(VLOOKUP(H21,Codigo_Material!$A$2:$C$6426,3,0),1,25))</f>
        <v/>
      </c>
      <c r="L21" s="19"/>
      <c r="M21" s="20"/>
      <c r="N21" s="1"/>
      <c r="O21" s="2"/>
      <c r="P21" s="60"/>
      <c r="Q21" s="60"/>
      <c r="R21" s="60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8" t="str">
        <f t="shared" si="1"/>
        <v>OBRA</v>
      </c>
      <c r="D22" s="58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9" t="str">
        <f>IF(H22="","",MID(VLOOKUP(H22,Codigo_Material!$A$2:$C$9999,2,0),1,30))</f>
        <v/>
      </c>
      <c r="J22" s="59"/>
      <c r="K22" s="21" t="str">
        <f>IF(H22="","",MID(VLOOKUP(H22,Codigo_Material!$A$2:$C$6426,3,0),1,25))</f>
        <v/>
      </c>
      <c r="L22" s="19"/>
      <c r="M22" s="20"/>
      <c r="N22" s="1"/>
      <c r="O22" s="2"/>
      <c r="P22" s="60"/>
      <c r="Q22" s="60"/>
      <c r="R22" s="60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8" t="str">
        <f t="shared" si="1"/>
        <v>OBRA</v>
      </c>
      <c r="D23" s="58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9" t="str">
        <f>IF(H23="","",MID(VLOOKUP(H23,Codigo_Material!$A$2:$C$9999,2,0),1,30))</f>
        <v/>
      </c>
      <c r="J23" s="59"/>
      <c r="K23" s="21" t="str">
        <f>IF(H23="","",MID(VLOOKUP(H23,Codigo_Material!$A$2:$C$6426,3,0),1,25))</f>
        <v/>
      </c>
      <c r="L23" s="19"/>
      <c r="M23" s="20"/>
      <c r="N23" s="1"/>
      <c r="O23" s="2"/>
      <c r="P23" s="60"/>
      <c r="Q23" s="60"/>
      <c r="R23" s="60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8" t="str">
        <f t="shared" si="1"/>
        <v>OBRA</v>
      </c>
      <c r="D24" s="58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9" t="str">
        <f>IF(H24="","",MID(VLOOKUP(H24,Codigo_Material!$A$2:$C$9999,2,0),1,30))</f>
        <v/>
      </c>
      <c r="J24" s="59"/>
      <c r="K24" s="21" t="str">
        <f>IF(H24="","",MID(VLOOKUP(H24,Codigo_Material!$A$2:$C$6426,3,0),1,25))</f>
        <v/>
      </c>
      <c r="L24" s="19"/>
      <c r="M24" s="20"/>
      <c r="N24" s="1"/>
      <c r="O24" s="2"/>
      <c r="P24" s="60"/>
      <c r="Q24" s="60"/>
      <c r="R24" s="60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8" t="str">
        <f t="shared" si="1"/>
        <v>OBRA</v>
      </c>
      <c r="D25" s="58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9" t="str">
        <f>IF(H25="","",MID(VLOOKUP(H25,Codigo_Material!$A$2:$C$9999,2,0),1,30))</f>
        <v/>
      </c>
      <c r="J25" s="59"/>
      <c r="K25" s="21" t="str">
        <f>IF(H25="","",MID(VLOOKUP(H25,Codigo_Material!$A$2:$C$6426,3,0),1,25))</f>
        <v/>
      </c>
      <c r="L25" s="19"/>
      <c r="M25" s="20"/>
      <c r="N25" s="1"/>
      <c r="O25" s="2"/>
      <c r="P25" s="60"/>
      <c r="Q25" s="60"/>
      <c r="R25" s="60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8" t="str">
        <f>IF($F$5="","",$F$5)</f>
        <v>OBRA</v>
      </c>
      <c r="D26" s="58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9" t="str">
        <f>IF(H26="","",MID(VLOOKUP(H26,Codigo_Material!$A$2:$C$9999,2,0),1,30))</f>
        <v/>
      </c>
      <c r="J26" s="59"/>
      <c r="K26" s="21" t="str">
        <f>IF(H26="","",MID(VLOOKUP(H26,Codigo_Material!$A$2:$C$6426,3,0),1,25))</f>
        <v/>
      </c>
      <c r="L26" s="19"/>
      <c r="M26" s="20"/>
      <c r="N26" s="1"/>
      <c r="O26" s="2"/>
      <c r="P26" s="60"/>
      <c r="Q26" s="60"/>
      <c r="R26" s="60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8" t="str">
        <f t="shared" si="1"/>
        <v>OBRA</v>
      </c>
      <c r="D27" s="58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9" t="str">
        <f>IF(H27="","",MID(VLOOKUP(H27,Codigo_Material!$A$2:$C$9999,2,0),1,30))</f>
        <v/>
      </c>
      <c r="J27" s="59"/>
      <c r="K27" s="21" t="str">
        <f>IF(H27="","",MID(VLOOKUP(H27,Codigo_Material!$A$2:$C$6426,3,0),1,25))</f>
        <v/>
      </c>
      <c r="L27" s="19"/>
      <c r="M27" s="20"/>
      <c r="N27" s="1"/>
      <c r="O27" s="2"/>
      <c r="P27" s="60"/>
      <c r="Q27" s="60"/>
      <c r="R27" s="60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8" t="str">
        <f t="shared" si="1"/>
        <v>OBRA</v>
      </c>
      <c r="D28" s="58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9" t="str">
        <f>IF(H28="","",MID(VLOOKUP(H28,Codigo_Material!$A$2:$C$9999,2,0),1,30))</f>
        <v/>
      </c>
      <c r="J28" s="59"/>
      <c r="K28" s="21" t="str">
        <f>IF(H28="","",MID(VLOOKUP(H28,Codigo_Material!$A$2:$C$6426,3,0),1,25))</f>
        <v/>
      </c>
      <c r="L28" s="19"/>
      <c r="M28" s="20"/>
      <c r="N28" s="1"/>
      <c r="O28" s="2"/>
      <c r="P28" s="60"/>
      <c r="Q28" s="60"/>
      <c r="R28" s="60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8" t="str">
        <f t="shared" si="1"/>
        <v>OBRA</v>
      </c>
      <c r="D29" s="58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9" t="str">
        <f>IF(H29="","",MID(VLOOKUP(H29,Codigo_Material!$A$2:$C$9999,2,0),1,30))</f>
        <v/>
      </c>
      <c r="J29" s="59"/>
      <c r="K29" s="21" t="str">
        <f>IF(H29="","",MID(VLOOKUP(H29,Codigo_Material!$A$2:$C$6426,3,0),1,25))</f>
        <v/>
      </c>
      <c r="L29" s="19"/>
      <c r="M29" s="20"/>
      <c r="N29" s="1"/>
      <c r="O29" s="2"/>
      <c r="P29" s="60"/>
      <c r="Q29" s="60"/>
      <c r="R29" s="60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8" t="str">
        <f t="shared" si="1"/>
        <v>OBRA</v>
      </c>
      <c r="D30" s="58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9" t="str">
        <f>IF(H30="","",MID(VLOOKUP(H30,Codigo_Material!$A$2:$C$9999,2,0),1,30))</f>
        <v/>
      </c>
      <c r="J30" s="59"/>
      <c r="K30" s="21" t="str">
        <f>IF(H30="","",MID(VLOOKUP(H30,Codigo_Material!$A$2:$C$6426,3,0),1,25))</f>
        <v/>
      </c>
      <c r="L30" s="19"/>
      <c r="M30" s="20"/>
      <c r="N30" s="1"/>
      <c r="O30" s="2"/>
      <c r="P30" s="60"/>
      <c r="Q30" s="60"/>
      <c r="R30" s="60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8" t="str">
        <f t="shared" si="1"/>
        <v>OBRA</v>
      </c>
      <c r="D31" s="58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9" t="str">
        <f>IF(H31="","",MID(VLOOKUP(H31,Codigo_Material!$A$2:$C$9999,2,0),1,30))</f>
        <v/>
      </c>
      <c r="J31" s="59"/>
      <c r="K31" s="21" t="str">
        <f>IF(H31="","",MID(VLOOKUP(H31,Codigo_Material!$A$2:$C$6426,3,0),1,25))</f>
        <v/>
      </c>
      <c r="L31" s="19"/>
      <c r="M31" s="20"/>
      <c r="N31" s="1"/>
      <c r="O31" s="2"/>
      <c r="P31" s="60"/>
      <c r="Q31" s="60"/>
      <c r="R31" s="60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8" t="str">
        <f t="shared" si="1"/>
        <v>OBRA</v>
      </c>
      <c r="D32" s="58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9" t="str">
        <f>IF(H32="","",MID(VLOOKUP(H32,Codigo_Material!$A$2:$C$9999,2,0),1,30))</f>
        <v/>
      </c>
      <c r="J32" s="59"/>
      <c r="K32" s="21" t="str">
        <f>IF(H32="","",MID(VLOOKUP(H32,Codigo_Material!$A$2:$C$6426,3,0),1,25))</f>
        <v/>
      </c>
      <c r="L32" s="19"/>
      <c r="M32" s="20"/>
      <c r="N32" s="1"/>
      <c r="O32" s="2"/>
      <c r="P32" s="60"/>
      <c r="Q32" s="60"/>
      <c r="R32" s="60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8" t="str">
        <f t="shared" si="1"/>
        <v>OBRA</v>
      </c>
      <c r="D33" s="58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9" t="str">
        <f>IF(H33="","",MID(VLOOKUP(H33,Codigo_Material!$A$2:$C$9999,2,0),1,30))</f>
        <v/>
      </c>
      <c r="J33" s="59"/>
      <c r="K33" s="21" t="str">
        <f>IF(H33="","",MID(VLOOKUP(H33,Codigo_Material!$A$2:$C$6426,3,0),1,25))</f>
        <v/>
      </c>
      <c r="L33" s="19"/>
      <c r="M33" s="20"/>
      <c r="N33" s="1"/>
      <c r="O33" s="2"/>
      <c r="P33" s="60"/>
      <c r="Q33" s="60"/>
      <c r="R33" s="60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8" t="str">
        <f t="shared" si="1"/>
        <v>OBRA</v>
      </c>
      <c r="D34" s="58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9" t="str">
        <f>IF(H34="","",MID(VLOOKUP(H34,Codigo_Material!$A$2:$C$9999,2,0),1,30))</f>
        <v/>
      </c>
      <c r="J34" s="59"/>
      <c r="K34" s="21" t="str">
        <f>IF(H34="","",MID(VLOOKUP(H34,Codigo_Material!$A$2:$C$6426,3,0),1,25))</f>
        <v/>
      </c>
      <c r="L34" s="19"/>
      <c r="M34" s="20"/>
      <c r="N34" s="1"/>
      <c r="O34" s="2"/>
      <c r="P34" s="60"/>
      <c r="Q34" s="60"/>
      <c r="R34" s="60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8" t="str">
        <f t="shared" si="1"/>
        <v>OBRA</v>
      </c>
      <c r="D35" s="58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9" t="str">
        <f>IF(H35="","",MID(VLOOKUP(H35,Codigo_Material!$A$2:$C$9999,2,0),1,30))</f>
        <v/>
      </c>
      <c r="J35" s="59"/>
      <c r="K35" s="21" t="str">
        <f>IF(H35="","",MID(VLOOKUP(H35,Codigo_Material!$A$2:$C$6426,3,0),1,25))</f>
        <v/>
      </c>
      <c r="L35" s="19"/>
      <c r="M35" s="20"/>
      <c r="N35" s="1"/>
      <c r="O35" s="2"/>
      <c r="P35" s="60"/>
      <c r="Q35" s="60"/>
      <c r="R35" s="60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8" t="str">
        <f t="shared" si="1"/>
        <v>OBRA</v>
      </c>
      <c r="D36" s="58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9" t="str">
        <f>IF(H36="","",MID(VLOOKUP(H36,Codigo_Material!$A$2:$C$9999,2,0),1,30))</f>
        <v/>
      </c>
      <c r="J36" s="59"/>
      <c r="K36" s="21" t="str">
        <f>IF(H36="","",MID(VLOOKUP(H36,Codigo_Material!$A$2:$C$6426,3,0),1,25))</f>
        <v/>
      </c>
      <c r="L36" s="19"/>
      <c r="M36" s="20"/>
      <c r="N36" s="1"/>
      <c r="O36" s="2"/>
      <c r="P36" s="60"/>
      <c r="Q36" s="60"/>
      <c r="R36" s="60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8" t="str">
        <f t="shared" si="1"/>
        <v>OBRA</v>
      </c>
      <c r="D37" s="58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9" t="str">
        <f>IF(H37="","",MID(VLOOKUP(H37,Codigo_Material!$A$2:$C$9999,2,0),1,30))</f>
        <v/>
      </c>
      <c r="J37" s="59"/>
      <c r="K37" s="21" t="str">
        <f>IF(H37="","",MID(VLOOKUP(H37,Codigo_Material!$A$2:$C$6426,3,0),1,25))</f>
        <v/>
      </c>
      <c r="L37" s="19"/>
      <c r="M37" s="20"/>
      <c r="N37" s="1"/>
      <c r="O37" s="2"/>
      <c r="P37" s="60"/>
      <c r="Q37" s="60"/>
      <c r="R37" s="60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8" t="str">
        <f t="shared" si="1"/>
        <v>OBRA</v>
      </c>
      <c r="D38" s="58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9" t="str">
        <f>IF(H38="","",MID(VLOOKUP(H38,Codigo_Material!$A$2:$C$9999,2,0),1,30))</f>
        <v/>
      </c>
      <c r="J38" s="59"/>
      <c r="K38" s="21" t="str">
        <f>IF(H38="","",MID(VLOOKUP(H38,Codigo_Material!$A$2:$C$6426,3,0),1,25))</f>
        <v/>
      </c>
      <c r="L38" s="19"/>
      <c r="M38" s="20"/>
      <c r="N38" s="1"/>
      <c r="O38" s="2"/>
      <c r="P38" s="60"/>
      <c r="Q38" s="60"/>
      <c r="R38" s="60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8" t="str">
        <f t="shared" si="1"/>
        <v>OBRA</v>
      </c>
      <c r="D39" s="58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9" t="str">
        <f>IF(H39="","",MID(VLOOKUP(H39,Codigo_Material!$A$2:$C$9999,2,0),1,30))</f>
        <v/>
      </c>
      <c r="J39" s="59"/>
      <c r="K39" s="21" t="str">
        <f>IF(H39="","",MID(VLOOKUP(H39,Codigo_Material!$A$2:$C$6426,3,0),1,25))</f>
        <v/>
      </c>
      <c r="L39" s="19"/>
      <c r="M39" s="20"/>
      <c r="N39" s="1"/>
      <c r="O39" s="2"/>
      <c r="P39" s="60"/>
      <c r="Q39" s="60"/>
      <c r="R39" s="60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8" t="str">
        <f t="shared" si="1"/>
        <v>OBRA</v>
      </c>
      <c r="D40" s="58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9" t="str">
        <f>IF(H40="","",MID(VLOOKUP(H40,Codigo_Material!$A$2:$C$9999,2,0),1,30))</f>
        <v/>
      </c>
      <c r="J40" s="59"/>
      <c r="K40" s="21" t="str">
        <f>IF(H40="","",MID(VLOOKUP(H40,Codigo_Material!$A$2:$C$6426,3,0),1,25))</f>
        <v/>
      </c>
      <c r="L40" s="19"/>
      <c r="M40" s="20"/>
      <c r="N40" s="1"/>
      <c r="O40" s="2"/>
      <c r="P40" s="60"/>
      <c r="Q40" s="60"/>
      <c r="R40" s="60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8" t="str">
        <f t="shared" si="1"/>
        <v>OBRA</v>
      </c>
      <c r="D41" s="58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9" t="str">
        <f>IF(H41="","",MID(VLOOKUP(H41,Codigo_Material!$A$2:$C$9999,2,0),1,30))</f>
        <v/>
      </c>
      <c r="J41" s="59"/>
      <c r="K41" s="21" t="str">
        <f>IF(H41="","",MID(VLOOKUP(H41,Codigo_Material!$A$2:$C$6426,3,0),1,25))</f>
        <v/>
      </c>
      <c r="L41" s="19"/>
      <c r="M41" s="20"/>
      <c r="N41" s="1"/>
      <c r="O41" s="2"/>
      <c r="P41" s="60"/>
      <c r="Q41" s="60"/>
      <c r="R41" s="60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8" t="str">
        <f t="shared" si="1"/>
        <v>OBRA</v>
      </c>
      <c r="D42" s="58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9" t="str">
        <f>IF(H42="","",MID(VLOOKUP(H42,Codigo_Material!$A$2:$C$9999,2,0),1,30))</f>
        <v/>
      </c>
      <c r="J42" s="59"/>
      <c r="K42" s="21" t="str">
        <f>IF(H42="","",MID(VLOOKUP(H42,Codigo_Material!$A$2:$C$6426,3,0),1,25))</f>
        <v/>
      </c>
      <c r="L42" s="19"/>
      <c r="M42" s="20"/>
      <c r="N42" s="1"/>
      <c r="O42" s="2"/>
      <c r="P42" s="60"/>
      <c r="Q42" s="60"/>
      <c r="R42" s="60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8" t="str">
        <f t="shared" si="1"/>
        <v>OBRA</v>
      </c>
      <c r="D43" s="58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9" t="str">
        <f>IF(H43="","",MID(VLOOKUP(H43,Codigo_Material!$A$2:$C$9999,2,0),1,30))</f>
        <v/>
      </c>
      <c r="J43" s="59"/>
      <c r="K43" s="50" t="str">
        <f>IF(H43="","",MID(VLOOKUP(H43,Codigo_Material!$A$2:$C$6426,3,0),1,25))</f>
        <v/>
      </c>
      <c r="L43" s="19"/>
      <c r="M43" s="20"/>
      <c r="N43" s="1"/>
      <c r="O43" s="2"/>
      <c r="P43" s="60"/>
      <c r="Q43" s="60"/>
      <c r="R43" s="60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8" t="str">
        <f t="shared" si="1"/>
        <v>OBRA</v>
      </c>
      <c r="D44" s="58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9" t="str">
        <f>IF(H44="","",MID(VLOOKUP(H44,Codigo_Material!$A$2:$C$9999,2,0),1,30))</f>
        <v/>
      </c>
      <c r="J44" s="59"/>
      <c r="K44" s="50" t="str">
        <f>IF(H44="","",MID(VLOOKUP(H44,Codigo_Material!$A$2:$C$6426,3,0),1,25))</f>
        <v/>
      </c>
      <c r="L44" s="19"/>
      <c r="M44" s="20"/>
      <c r="N44" s="1"/>
      <c r="O44" s="2"/>
      <c r="P44" s="60"/>
      <c r="Q44" s="60"/>
      <c r="R44" s="60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8" t="str">
        <f t="shared" si="1"/>
        <v>OBRA</v>
      </c>
      <c r="D45" s="58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9" t="str">
        <f>IF(H45="","",MID(VLOOKUP(H45,Codigo_Material!$A$2:$C$9999,2,0),1,30))</f>
        <v/>
      </c>
      <c r="J45" s="59"/>
      <c r="K45" s="50" t="str">
        <f>IF(H45="","",MID(VLOOKUP(H45,Codigo_Material!$A$2:$C$6426,3,0),1,25))</f>
        <v/>
      </c>
      <c r="L45" s="19"/>
      <c r="M45" s="20"/>
      <c r="N45" s="1"/>
      <c r="O45" s="2"/>
      <c r="P45" s="60"/>
      <c r="Q45" s="60"/>
      <c r="R45" s="60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8" t="str">
        <f t="shared" si="1"/>
        <v>OBRA</v>
      </c>
      <c r="D46" s="58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9" t="str">
        <f>IF(H46="","",MID(VLOOKUP(H46,Codigo_Material!$A$2:$C$9999,2,0),1,30))</f>
        <v/>
      </c>
      <c r="J46" s="59"/>
      <c r="K46" s="50" t="str">
        <f>IF(H46="","",MID(VLOOKUP(H46,Codigo_Material!$A$2:$C$6426,3,0),1,25))</f>
        <v/>
      </c>
      <c r="L46" s="19"/>
      <c r="M46" s="20"/>
      <c r="N46" s="1"/>
      <c r="O46" s="2"/>
      <c r="P46" s="60"/>
      <c r="Q46" s="60"/>
      <c r="R46" s="60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8" t="str">
        <f t="shared" si="1"/>
        <v>OBRA</v>
      </c>
      <c r="D47" s="58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9" t="str">
        <f>IF(H47="","",MID(VLOOKUP(H47,Codigo_Material!$A$2:$C$9999,2,0),1,30))</f>
        <v/>
      </c>
      <c r="J47" s="59"/>
      <c r="K47" s="50" t="str">
        <f>IF(H47="","",MID(VLOOKUP(H47,Codigo_Material!$A$2:$C$6426,3,0),1,25))</f>
        <v/>
      </c>
      <c r="L47" s="19"/>
      <c r="M47" s="20"/>
      <c r="N47" s="1"/>
      <c r="O47" s="2"/>
      <c r="P47" s="60"/>
      <c r="Q47" s="60"/>
      <c r="R47" s="60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8" t="str">
        <f t="shared" si="1"/>
        <v>OBRA</v>
      </c>
      <c r="D48" s="58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9" t="str">
        <f>IF(H48="","",MID(VLOOKUP(H48,Codigo_Material!$A$2:$C$9999,2,0),1,30))</f>
        <v/>
      </c>
      <c r="J48" s="59"/>
      <c r="K48" s="50" t="str">
        <f>IF(H48="","",MID(VLOOKUP(H48,Codigo_Material!$A$2:$C$6426,3,0),1,25))</f>
        <v/>
      </c>
      <c r="L48" s="19"/>
      <c r="M48" s="20"/>
      <c r="N48" s="1"/>
      <c r="O48" s="2"/>
      <c r="P48" s="60"/>
      <c r="Q48" s="60"/>
      <c r="R48" s="60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8" t="str">
        <f t="shared" si="1"/>
        <v>OBRA</v>
      </c>
      <c r="D49" s="58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9" t="str">
        <f>IF(H49="","",MID(VLOOKUP(H49,Codigo_Material!$A$2:$C$9999,2,0),1,30))</f>
        <v/>
      </c>
      <c r="J49" s="59"/>
      <c r="K49" s="50" t="str">
        <f>IF(H49="","",MID(VLOOKUP(H49,Codigo_Material!$A$2:$C$6426,3,0),1,25))</f>
        <v/>
      </c>
      <c r="L49" s="19"/>
      <c r="M49" s="20"/>
      <c r="N49" s="1"/>
      <c r="O49" s="2"/>
      <c r="P49" s="60"/>
      <c r="Q49" s="60"/>
      <c r="R49" s="60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8" t="str">
        <f t="shared" si="1"/>
        <v>OBRA</v>
      </c>
      <c r="D50" s="58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9" t="str">
        <f>IF(H50="","",MID(VLOOKUP(H50,Codigo_Material!$A$2:$C$9999,2,0),1,30))</f>
        <v/>
      </c>
      <c r="J50" s="59"/>
      <c r="K50" s="50" t="str">
        <f>IF(H50="","",MID(VLOOKUP(H50,Codigo_Material!$A$2:$C$6426,3,0),1,25))</f>
        <v/>
      </c>
      <c r="L50" s="19"/>
      <c r="M50" s="20"/>
      <c r="N50" s="1"/>
      <c r="O50" s="2"/>
      <c r="P50" s="60"/>
      <c r="Q50" s="60"/>
      <c r="R50" s="60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8" t="str">
        <f t="shared" si="1"/>
        <v>OBRA</v>
      </c>
      <c r="D51" s="58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9" t="str">
        <f>IF(H51="","",MID(VLOOKUP(H51,Codigo_Material!$A$2:$C$9999,2,0),1,30))</f>
        <v/>
      </c>
      <c r="J51" s="59"/>
      <c r="K51" s="50" t="str">
        <f>IF(H51="","",MID(VLOOKUP(H51,Codigo_Material!$A$2:$C$6426,3,0),1,25))</f>
        <v/>
      </c>
      <c r="L51" s="19"/>
      <c r="M51" s="20"/>
      <c r="N51" s="1"/>
      <c r="O51" s="2"/>
      <c r="P51" s="60"/>
      <c r="Q51" s="60"/>
      <c r="R51" s="60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8" t="str">
        <f t="shared" si="1"/>
        <v>OBRA</v>
      </c>
      <c r="D52" s="58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9" t="str">
        <f>IF(H52="","",MID(VLOOKUP(H52,Codigo_Material!$A$2:$C$9999,2,0),1,30))</f>
        <v/>
      </c>
      <c r="J52" s="59"/>
      <c r="K52" s="50" t="str">
        <f>IF(H52="","",MID(VLOOKUP(H52,Codigo_Material!$A$2:$C$6426,3,0),1,25))</f>
        <v/>
      </c>
      <c r="L52" s="19"/>
      <c r="M52" s="20"/>
      <c r="N52" s="1"/>
      <c r="O52" s="2"/>
      <c r="P52" s="60"/>
      <c r="Q52" s="60"/>
      <c r="R52" s="60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8" t="str">
        <f t="shared" si="1"/>
        <v>OBRA</v>
      </c>
      <c r="D53" s="58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9" t="str">
        <f>IF(H53="","",MID(VLOOKUP(H53,Codigo_Material!$A$2:$C$9999,2,0),1,30))</f>
        <v/>
      </c>
      <c r="J53" s="59"/>
      <c r="K53" s="50" t="str">
        <f>IF(H53="","",MID(VLOOKUP(H53,Codigo_Material!$A$2:$C$6426,3,0),1,25))</f>
        <v/>
      </c>
      <c r="L53" s="19"/>
      <c r="M53" s="20"/>
      <c r="N53" s="1"/>
      <c r="O53" s="2"/>
      <c r="P53" s="60"/>
      <c r="Q53" s="60"/>
      <c r="R53" s="60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8" t="str">
        <f t="shared" si="1"/>
        <v>OBRA</v>
      </c>
      <c r="D54" s="58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9" t="str">
        <f>IF(H54="","",MID(VLOOKUP(H54,Codigo_Material!$A$2:$C$9999,2,0),1,30))</f>
        <v/>
      </c>
      <c r="J54" s="59"/>
      <c r="K54" s="50" t="str">
        <f>IF(H54="","",MID(VLOOKUP(H54,Codigo_Material!$A$2:$C$6426,3,0),1,25))</f>
        <v/>
      </c>
      <c r="L54" s="19"/>
      <c r="M54" s="20"/>
      <c r="N54" s="1"/>
      <c r="O54" s="2"/>
      <c r="P54" s="60"/>
      <c r="Q54" s="60"/>
      <c r="R54" s="60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8" t="str">
        <f t="shared" si="1"/>
        <v>OBRA</v>
      </c>
      <c r="D55" s="58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9" t="str">
        <f>IF(H55="","",MID(VLOOKUP(H55,Codigo_Material!$A$2:$C$9999,2,0),1,30))</f>
        <v/>
      </c>
      <c r="J55" s="59"/>
      <c r="K55" s="50" t="str">
        <f>IF(H55="","",MID(VLOOKUP(H55,Codigo_Material!$A$2:$C$6426,3,0),1,25))</f>
        <v/>
      </c>
      <c r="L55" s="19"/>
      <c r="M55" s="20"/>
      <c r="N55" s="1"/>
      <c r="O55" s="2"/>
      <c r="P55" s="60"/>
      <c r="Q55" s="60"/>
      <c r="R55" s="60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8" t="str">
        <f t="shared" si="1"/>
        <v>OBRA</v>
      </c>
      <c r="D56" s="58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9" t="str">
        <f>IF(H56="","",MID(VLOOKUP(H56,Codigo_Material!$A$2:$C$9999,2,0),1,30))</f>
        <v/>
      </c>
      <c r="J56" s="59"/>
      <c r="K56" s="50" t="str">
        <f>IF(H56="","",MID(VLOOKUP(H56,Codigo_Material!$A$2:$C$6426,3,0),1,25))</f>
        <v/>
      </c>
      <c r="L56" s="19"/>
      <c r="M56" s="20"/>
      <c r="N56" s="1"/>
      <c r="O56" s="2"/>
      <c r="P56" s="60"/>
      <c r="Q56" s="60"/>
      <c r="R56" s="60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8" t="str">
        <f t="shared" si="1"/>
        <v>OBRA</v>
      </c>
      <c r="D57" s="58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9" t="str">
        <f>IF(H57="","",MID(VLOOKUP(H57,Codigo_Material!$A$2:$C$9999,2,0),1,30))</f>
        <v/>
      </c>
      <c r="J57" s="59"/>
      <c r="K57" s="50" t="str">
        <f>IF(H57="","",MID(VLOOKUP(H57,Codigo_Material!$A$2:$C$6426,3,0),1,25))</f>
        <v/>
      </c>
      <c r="L57" s="19"/>
      <c r="M57" s="20"/>
      <c r="N57" s="1"/>
      <c r="O57" s="2"/>
      <c r="P57" s="60"/>
      <c r="Q57" s="60"/>
      <c r="R57" s="60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8" t="str">
        <f t="shared" si="1"/>
        <v>OBRA</v>
      </c>
      <c r="D58" s="58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9" t="str">
        <f>IF(H58="","",MID(VLOOKUP(H58,Codigo_Material!$A$2:$C$9999,2,0),1,30))</f>
        <v/>
      </c>
      <c r="J58" s="59"/>
      <c r="K58" s="50" t="str">
        <f>IF(H58="","",MID(VLOOKUP(H58,Codigo_Material!$A$2:$C$6426,3,0),1,25))</f>
        <v/>
      </c>
      <c r="L58" s="19"/>
      <c r="M58" s="20"/>
      <c r="N58" s="1"/>
      <c r="O58" s="2"/>
      <c r="P58" s="60"/>
      <c r="Q58" s="60"/>
      <c r="R58" s="60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8" t="str">
        <f t="shared" si="1"/>
        <v>OBRA</v>
      </c>
      <c r="D59" s="58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9" t="str">
        <f>IF(H59="","",MID(VLOOKUP(H59,Codigo_Material!$A$2:$C$9999,2,0),1,30))</f>
        <v/>
      </c>
      <c r="J59" s="59"/>
      <c r="K59" s="50" t="str">
        <f>IF(H59="","",MID(VLOOKUP(H59,Codigo_Material!$A$2:$C$6426,3,0),1,25))</f>
        <v/>
      </c>
      <c r="L59" s="19"/>
      <c r="M59" s="20"/>
      <c r="N59" s="1"/>
      <c r="O59" s="2"/>
      <c r="P59" s="60"/>
      <c r="Q59" s="60"/>
      <c r="R59" s="60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8" t="str">
        <f t="shared" si="1"/>
        <v>OBRA</v>
      </c>
      <c r="D60" s="58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9" t="str">
        <f>IF(H60="","",MID(VLOOKUP(H60,Codigo_Material!$A$2:$C$9999,2,0),1,30))</f>
        <v/>
      </c>
      <c r="J60" s="59"/>
      <c r="K60" s="50" t="str">
        <f>IF(H60="","",MID(VLOOKUP(H60,Codigo_Material!$A$2:$C$6426,3,0),1,25))</f>
        <v/>
      </c>
      <c r="L60" s="19"/>
      <c r="M60" s="20"/>
      <c r="N60" s="1"/>
      <c r="O60" s="2"/>
      <c r="P60" s="60"/>
      <c r="Q60" s="60"/>
      <c r="R60" s="60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8" t="str">
        <f t="shared" si="1"/>
        <v>OBRA</v>
      </c>
      <c r="D61" s="58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9" t="str">
        <f>IF(H61="","",MID(VLOOKUP(H61,Codigo_Material!$A$2:$C$9999,2,0),1,30))</f>
        <v/>
      </c>
      <c r="J61" s="59"/>
      <c r="K61" s="50" t="str">
        <f>IF(H61="","",MID(VLOOKUP(H61,Codigo_Material!$A$2:$C$6426,3,0),1,25))</f>
        <v/>
      </c>
      <c r="L61" s="19"/>
      <c r="M61" s="20"/>
      <c r="N61" s="1"/>
      <c r="O61" s="2"/>
      <c r="P61" s="60"/>
      <c r="Q61" s="60"/>
      <c r="R61" s="60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8" t="str">
        <f t="shared" si="1"/>
        <v>OBRA</v>
      </c>
      <c r="D62" s="58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9" t="str">
        <f>IF(H62="","",MID(VLOOKUP(H62,Codigo_Material!$A$2:$C$9999,2,0),1,30))</f>
        <v/>
      </c>
      <c r="J62" s="59"/>
      <c r="K62" s="50" t="str">
        <f>IF(H62="","",MID(VLOOKUP(H62,Codigo_Material!$A$2:$C$6426,3,0),1,25))</f>
        <v/>
      </c>
      <c r="L62" s="19"/>
      <c r="M62" s="20"/>
      <c r="N62" s="1"/>
      <c r="O62" s="2"/>
      <c r="P62" s="60"/>
      <c r="Q62" s="60"/>
      <c r="R62" s="60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8" t="str">
        <f t="shared" si="1"/>
        <v>OBRA</v>
      </c>
      <c r="D63" s="58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9" t="str">
        <f>IF(H63="","",MID(VLOOKUP(H63,Codigo_Material!$A$2:$C$9999,2,0),1,30))</f>
        <v/>
      </c>
      <c r="J63" s="59"/>
      <c r="K63" s="50" t="str">
        <f>IF(H63="","",MID(VLOOKUP(H63,Codigo_Material!$A$2:$C$6426,3,0),1,25))</f>
        <v/>
      </c>
      <c r="L63" s="19"/>
      <c r="M63" s="20"/>
      <c r="N63" s="1"/>
      <c r="O63" s="2"/>
      <c r="P63" s="60"/>
      <c r="Q63" s="60"/>
      <c r="R63" s="60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8" t="str">
        <f t="shared" si="1"/>
        <v>OBRA</v>
      </c>
      <c r="D64" s="58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9" t="str">
        <f>IF(H64="","",MID(VLOOKUP(H64,Codigo_Material!$A$2:$C$9999,2,0),1,30))</f>
        <v/>
      </c>
      <c r="J64" s="59"/>
      <c r="K64" s="50" t="str">
        <f>IF(H64="","",MID(VLOOKUP(H64,Codigo_Material!$A$2:$C$6426,3,0),1,25))</f>
        <v/>
      </c>
      <c r="L64" s="19"/>
      <c r="M64" s="20"/>
      <c r="N64" s="1"/>
      <c r="O64" s="2"/>
      <c r="P64" s="60"/>
      <c r="Q64" s="60"/>
      <c r="R64" s="60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8" t="str">
        <f t="shared" si="1"/>
        <v>OBRA</v>
      </c>
      <c r="D65" s="58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9" t="str">
        <f>IF(H65="","",MID(VLOOKUP(H65,Codigo_Material!$A$2:$C$9999,2,0),1,30))</f>
        <v/>
      </c>
      <c r="J65" s="59"/>
      <c r="K65" s="50" t="str">
        <f>IF(H65="","",MID(VLOOKUP(H65,Codigo_Material!$A$2:$C$6426,3,0),1,25))</f>
        <v/>
      </c>
      <c r="L65" s="19"/>
      <c r="M65" s="20"/>
      <c r="N65" s="1"/>
      <c r="O65" s="2"/>
      <c r="P65" s="60"/>
      <c r="Q65" s="60"/>
      <c r="R65" s="60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8" t="str">
        <f t="shared" si="1"/>
        <v>OBRA</v>
      </c>
      <c r="D66" s="58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9" t="str">
        <f>IF(H66="","",MID(VLOOKUP(H66,Codigo_Material!$A$2:$C$9999,2,0),1,30))</f>
        <v/>
      </c>
      <c r="J66" s="59"/>
      <c r="K66" s="50" t="str">
        <f>IF(H66="","",MID(VLOOKUP(H66,Codigo_Material!$A$2:$C$6426,3,0),1,25))</f>
        <v/>
      </c>
      <c r="L66" s="19"/>
      <c r="M66" s="20"/>
      <c r="N66" s="1"/>
      <c r="O66" s="2"/>
      <c r="P66" s="60"/>
      <c r="Q66" s="60"/>
      <c r="R66" s="60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8" t="str">
        <f t="shared" si="1"/>
        <v>OBRA</v>
      </c>
      <c r="D67" s="58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9" t="str">
        <f>IF(H67="","",MID(VLOOKUP(H67,Codigo_Material!$A$2:$C$9999,2,0),1,30))</f>
        <v/>
      </c>
      <c r="J67" s="59"/>
      <c r="K67" s="50" t="str">
        <f>IF(H67="","",MID(VLOOKUP(H67,Codigo_Material!$A$2:$C$6426,3,0),1,25))</f>
        <v/>
      </c>
      <c r="L67" s="19"/>
      <c r="M67" s="20"/>
      <c r="N67" s="1"/>
      <c r="O67" s="2"/>
      <c r="P67" s="60"/>
      <c r="Q67" s="60"/>
      <c r="R67" s="60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8" t="str">
        <f t="shared" si="1"/>
        <v>OBRA</v>
      </c>
      <c r="D68" s="58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9" t="str">
        <f>IF(H68="","",MID(VLOOKUP(H68,Codigo_Material!$A$2:$C$9999,2,0),1,30))</f>
        <v/>
      </c>
      <c r="J68" s="59"/>
      <c r="K68" s="50" t="str">
        <f>IF(H68="","",MID(VLOOKUP(H68,Codigo_Material!$A$2:$C$6426,3,0),1,25))</f>
        <v/>
      </c>
      <c r="L68" s="19"/>
      <c r="M68" s="20"/>
      <c r="N68" s="1"/>
      <c r="O68" s="2"/>
      <c r="P68" s="60"/>
      <c r="Q68" s="60"/>
      <c r="R68" s="60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8" t="str">
        <f t="shared" si="1"/>
        <v>OBRA</v>
      </c>
      <c r="D69" s="58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9" t="str">
        <f>IF(H69="","",MID(VLOOKUP(H69,Codigo_Material!$A$2:$C$9999,2,0),1,30))</f>
        <v/>
      </c>
      <c r="J69" s="59"/>
      <c r="K69" s="50" t="str">
        <f>IF(H69="","",MID(VLOOKUP(H69,Codigo_Material!$A$2:$C$6426,3,0),1,25))</f>
        <v/>
      </c>
      <c r="L69" s="19"/>
      <c r="M69" s="20"/>
      <c r="N69" s="1"/>
      <c r="O69" s="2"/>
      <c r="P69" s="60"/>
      <c r="Q69" s="60"/>
      <c r="R69" s="60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8" t="str">
        <f t="shared" si="1"/>
        <v>OBRA</v>
      </c>
      <c r="D70" s="58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9" t="str">
        <f>IF(H70="","",MID(VLOOKUP(H70,Codigo_Material!$A$2:$C$9999,2,0),1,30))</f>
        <v/>
      </c>
      <c r="J70" s="59"/>
      <c r="K70" s="50" t="str">
        <f>IF(H70="","",MID(VLOOKUP(H70,Codigo_Material!$A$2:$C$6426,3,0),1,25))</f>
        <v/>
      </c>
      <c r="L70" s="19"/>
      <c r="M70" s="20"/>
      <c r="N70" s="1"/>
      <c r="O70" s="2"/>
      <c r="P70" s="60"/>
      <c r="Q70" s="60"/>
      <c r="R70" s="60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8" t="str">
        <f t="shared" si="1"/>
        <v>OBRA</v>
      </c>
      <c r="D71" s="58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9" t="str">
        <f>IF(H71="","",MID(VLOOKUP(H71,Codigo_Material!$A$2:$C$9999,2,0),1,30))</f>
        <v/>
      </c>
      <c r="J71" s="59"/>
      <c r="K71" s="50" t="str">
        <f>IF(H71="","",MID(VLOOKUP(H71,Codigo_Material!$A$2:$C$6426,3,0),1,25))</f>
        <v/>
      </c>
      <c r="L71" s="19"/>
      <c r="M71" s="20"/>
      <c r="N71" s="1"/>
      <c r="O71" s="2"/>
      <c r="P71" s="60"/>
      <c r="Q71" s="60"/>
      <c r="R71" s="60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8" t="str">
        <f t="shared" si="1"/>
        <v>OBRA</v>
      </c>
      <c r="D72" s="58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9" t="str">
        <f>IF(H72="","",MID(VLOOKUP(H72,Codigo_Material!$A$2:$C$9999,2,0),1,30))</f>
        <v/>
      </c>
      <c r="J72" s="59"/>
      <c r="K72" s="50" t="str">
        <f>IF(H72="","",MID(VLOOKUP(H72,Codigo_Material!$A$2:$C$6426,3,0),1,25))</f>
        <v/>
      </c>
      <c r="L72" s="19"/>
      <c r="M72" s="20"/>
      <c r="N72" s="1"/>
      <c r="O72" s="2"/>
      <c r="P72" s="60"/>
      <c r="Q72" s="60"/>
      <c r="R72" s="60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8" t="str">
        <f t="shared" si="1"/>
        <v>OBRA</v>
      </c>
      <c r="D73" s="58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9" t="str">
        <f>IF(H73="","",MID(VLOOKUP(H73,Codigo_Material!$A$2:$C$9999,2,0),1,30))</f>
        <v/>
      </c>
      <c r="J73" s="59"/>
      <c r="K73" s="50" t="str">
        <f>IF(H73="","",MID(VLOOKUP(H73,Codigo_Material!$A$2:$C$6426,3,0),1,25))</f>
        <v/>
      </c>
      <c r="L73" s="19"/>
      <c r="M73" s="20"/>
      <c r="N73" s="1"/>
      <c r="O73" s="2"/>
      <c r="P73" s="60"/>
      <c r="Q73" s="60"/>
      <c r="R73" s="60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8" t="str">
        <f t="shared" si="1"/>
        <v>OBRA</v>
      </c>
      <c r="D74" s="58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9" t="str">
        <f>IF(H74="","",MID(VLOOKUP(H74,Codigo_Material!$A$2:$C$9999,2,0),1,30))</f>
        <v/>
      </c>
      <c r="J74" s="59"/>
      <c r="K74" s="50" t="str">
        <f>IF(H74="","",MID(VLOOKUP(H74,Codigo_Material!$A$2:$C$6426,3,0),1,25))</f>
        <v/>
      </c>
      <c r="L74" s="19"/>
      <c r="M74" s="20"/>
      <c r="N74" s="1"/>
      <c r="O74" s="2"/>
      <c r="P74" s="60"/>
      <c r="Q74" s="60"/>
      <c r="R74" s="60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8" t="str">
        <f t="shared" ref="C75:C138" si="6">IF($F$5="","",$F$5)</f>
        <v>OBRA</v>
      </c>
      <c r="D75" s="58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9" t="str">
        <f>IF(H75="","",MID(VLOOKUP(H75,Codigo_Material!$A$2:$C$9999,2,0),1,30))</f>
        <v/>
      </c>
      <c r="J75" s="59"/>
      <c r="K75" s="50" t="str">
        <f>IF(H75="","",MID(VLOOKUP(H75,Codigo_Material!$A$2:$C$6426,3,0),1,25))</f>
        <v/>
      </c>
      <c r="L75" s="19"/>
      <c r="M75" s="20"/>
      <c r="N75" s="1"/>
      <c r="O75" s="2"/>
      <c r="P75" s="60"/>
      <c r="Q75" s="60"/>
      <c r="R75" s="60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8" t="str">
        <f t="shared" si="6"/>
        <v>OBRA</v>
      </c>
      <c r="D76" s="58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9" t="str">
        <f>IF(H76="","",MID(VLOOKUP(H76,Codigo_Material!$A$2:$C$9999,2,0),1,30))</f>
        <v/>
      </c>
      <c r="J76" s="59"/>
      <c r="K76" s="50" t="str">
        <f>IF(H76="","",MID(VLOOKUP(H76,Codigo_Material!$A$2:$C$6426,3,0),1,25))</f>
        <v/>
      </c>
      <c r="L76" s="19"/>
      <c r="M76" s="20"/>
      <c r="N76" s="1"/>
      <c r="O76" s="2"/>
      <c r="P76" s="60"/>
      <c r="Q76" s="60"/>
      <c r="R76" s="60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8" t="str">
        <f t="shared" si="6"/>
        <v>OBRA</v>
      </c>
      <c r="D77" s="58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9" t="str">
        <f>IF(H77="","",MID(VLOOKUP(H77,Codigo_Material!$A$2:$C$9999,2,0),1,30))</f>
        <v/>
      </c>
      <c r="J77" s="59"/>
      <c r="K77" s="50" t="str">
        <f>IF(H77="","",MID(VLOOKUP(H77,Codigo_Material!$A$2:$C$6426,3,0),1,25))</f>
        <v/>
      </c>
      <c r="L77" s="19"/>
      <c r="M77" s="20"/>
      <c r="N77" s="1"/>
      <c r="O77" s="2"/>
      <c r="P77" s="60"/>
      <c r="Q77" s="60"/>
      <c r="R77" s="60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8" t="str">
        <f t="shared" si="6"/>
        <v>OBRA</v>
      </c>
      <c r="D78" s="58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9" t="str">
        <f>IF(H78="","",MID(VLOOKUP(H78,Codigo_Material!$A$2:$C$9999,2,0),1,30))</f>
        <v/>
      </c>
      <c r="J78" s="59"/>
      <c r="K78" s="50" t="str">
        <f>IF(H78="","",MID(VLOOKUP(H78,Codigo_Material!$A$2:$C$6426,3,0),1,25))</f>
        <v/>
      </c>
      <c r="L78" s="19"/>
      <c r="M78" s="20"/>
      <c r="N78" s="1"/>
      <c r="O78" s="2"/>
      <c r="P78" s="60"/>
      <c r="Q78" s="60"/>
      <c r="R78" s="60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8" t="str">
        <f t="shared" si="6"/>
        <v>OBRA</v>
      </c>
      <c r="D79" s="58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9" t="str">
        <f>IF(H79="","",MID(VLOOKUP(H79,Codigo_Material!$A$2:$C$9999,2,0),1,30))</f>
        <v/>
      </c>
      <c r="J79" s="59"/>
      <c r="K79" s="50" t="str">
        <f>IF(H79="","",MID(VLOOKUP(H79,Codigo_Material!$A$2:$C$6426,3,0),1,25))</f>
        <v/>
      </c>
      <c r="L79" s="19"/>
      <c r="M79" s="20"/>
      <c r="N79" s="1"/>
      <c r="O79" s="2"/>
      <c r="P79" s="60"/>
      <c r="Q79" s="60"/>
      <c r="R79" s="60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8" t="str">
        <f t="shared" si="6"/>
        <v>OBRA</v>
      </c>
      <c r="D80" s="58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9" t="str">
        <f>IF(H80="","",MID(VLOOKUP(H80,Codigo_Material!$A$2:$C$9999,2,0),1,30))</f>
        <v/>
      </c>
      <c r="J80" s="59"/>
      <c r="K80" s="50" t="str">
        <f>IF(H80="","",MID(VLOOKUP(H80,Codigo_Material!$A$2:$C$6426,3,0),1,25))</f>
        <v/>
      </c>
      <c r="L80" s="19"/>
      <c r="M80" s="20"/>
      <c r="N80" s="1"/>
      <c r="O80" s="2"/>
      <c r="P80" s="60"/>
      <c r="Q80" s="60"/>
      <c r="R80" s="60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8" t="str">
        <f t="shared" si="6"/>
        <v>OBRA</v>
      </c>
      <c r="D81" s="58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9" t="str">
        <f>IF(H81="","",MID(VLOOKUP(H81,Codigo_Material!$A$2:$C$9999,2,0),1,30))</f>
        <v/>
      </c>
      <c r="J81" s="59"/>
      <c r="K81" s="50" t="str">
        <f>IF(H81="","",MID(VLOOKUP(H81,Codigo_Material!$A$2:$C$6426,3,0),1,25))</f>
        <v/>
      </c>
      <c r="L81" s="19"/>
      <c r="M81" s="20"/>
      <c r="N81" s="1"/>
      <c r="O81" s="2"/>
      <c r="P81" s="60"/>
      <c r="Q81" s="60"/>
      <c r="R81" s="60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8" t="str">
        <f t="shared" si="6"/>
        <v>OBRA</v>
      </c>
      <c r="D82" s="58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9" t="str">
        <f>IF(H82="","",MID(VLOOKUP(H82,Codigo_Material!$A$2:$C$9999,2,0),1,30))</f>
        <v/>
      </c>
      <c r="J82" s="59"/>
      <c r="K82" s="50" t="str">
        <f>IF(H82="","",MID(VLOOKUP(H82,Codigo_Material!$A$2:$C$6426,3,0),1,25))</f>
        <v/>
      </c>
      <c r="L82" s="19"/>
      <c r="M82" s="20"/>
      <c r="N82" s="1"/>
      <c r="O82" s="2"/>
      <c r="P82" s="60"/>
      <c r="Q82" s="60"/>
      <c r="R82" s="60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8" t="str">
        <f t="shared" si="6"/>
        <v>OBRA</v>
      </c>
      <c r="D83" s="58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9" t="str">
        <f>IF(H83="","",MID(VLOOKUP(H83,Codigo_Material!$A$2:$C$9999,2,0),1,30))</f>
        <v/>
      </c>
      <c r="J83" s="59"/>
      <c r="K83" s="50" t="str">
        <f>IF(H83="","",MID(VLOOKUP(H83,Codigo_Material!$A$2:$C$6426,3,0),1,25))</f>
        <v/>
      </c>
      <c r="L83" s="19"/>
      <c r="M83" s="20"/>
      <c r="N83" s="1"/>
      <c r="O83" s="2"/>
      <c r="P83" s="60"/>
      <c r="Q83" s="60"/>
      <c r="R83" s="60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8" t="str">
        <f t="shared" si="6"/>
        <v>OBRA</v>
      </c>
      <c r="D84" s="58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9" t="str">
        <f>IF(H84="","",MID(VLOOKUP(H84,Codigo_Material!$A$2:$C$9999,2,0),1,30))</f>
        <v/>
      </c>
      <c r="J84" s="59"/>
      <c r="K84" s="50" t="str">
        <f>IF(H84="","",MID(VLOOKUP(H84,Codigo_Material!$A$2:$C$6426,3,0),1,25))</f>
        <v/>
      </c>
      <c r="L84" s="19"/>
      <c r="M84" s="20"/>
      <c r="N84" s="1"/>
      <c r="O84" s="2"/>
      <c r="P84" s="60"/>
      <c r="Q84" s="60"/>
      <c r="R84" s="60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8" t="str">
        <f t="shared" si="6"/>
        <v>OBRA</v>
      </c>
      <c r="D85" s="58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9" t="str">
        <f>IF(H85="","",MID(VLOOKUP(H85,Codigo_Material!$A$2:$C$9999,2,0),1,30))</f>
        <v/>
      </c>
      <c r="J85" s="59"/>
      <c r="K85" s="50" t="str">
        <f>IF(H85="","",MID(VLOOKUP(H85,Codigo_Material!$A$2:$C$6426,3,0),1,25))</f>
        <v/>
      </c>
      <c r="L85" s="19"/>
      <c r="M85" s="20"/>
      <c r="N85" s="1"/>
      <c r="O85" s="2"/>
      <c r="P85" s="60"/>
      <c r="Q85" s="60"/>
      <c r="R85" s="60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8" t="str">
        <f t="shared" si="6"/>
        <v>OBRA</v>
      </c>
      <c r="D86" s="58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9" t="str">
        <f>IF(H86="","",MID(VLOOKUP(H86,Codigo_Material!$A$2:$C$9999,2,0),1,30))</f>
        <v/>
      </c>
      <c r="J86" s="59"/>
      <c r="K86" s="50" t="str">
        <f>IF(H86="","",MID(VLOOKUP(H86,Codigo_Material!$A$2:$C$6426,3,0),1,25))</f>
        <v/>
      </c>
      <c r="L86" s="19"/>
      <c r="M86" s="20"/>
      <c r="N86" s="1"/>
      <c r="O86" s="2"/>
      <c r="P86" s="60"/>
      <c r="Q86" s="60"/>
      <c r="R86" s="60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8" t="str">
        <f t="shared" si="6"/>
        <v>OBRA</v>
      </c>
      <c r="D87" s="58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9" t="str">
        <f>IF(H87="","",MID(VLOOKUP(H87,Codigo_Material!$A$2:$C$9999,2,0),1,30))</f>
        <v/>
      </c>
      <c r="J87" s="59"/>
      <c r="K87" s="50" t="str">
        <f>IF(H87="","",MID(VLOOKUP(H87,Codigo_Material!$A$2:$C$6426,3,0),1,25))</f>
        <v/>
      </c>
      <c r="L87" s="19"/>
      <c r="M87" s="20"/>
      <c r="N87" s="1"/>
      <c r="O87" s="2"/>
      <c r="P87" s="60"/>
      <c r="Q87" s="60"/>
      <c r="R87" s="60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8" t="str">
        <f t="shared" si="6"/>
        <v>OBRA</v>
      </c>
      <c r="D88" s="58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9" t="str">
        <f>IF(H88="","",MID(VLOOKUP(H88,Codigo_Material!$A$2:$C$9999,2,0),1,30))</f>
        <v/>
      </c>
      <c r="J88" s="59"/>
      <c r="K88" s="50" t="str">
        <f>IF(H88="","",MID(VLOOKUP(H88,Codigo_Material!$A$2:$C$6426,3,0),1,25))</f>
        <v/>
      </c>
      <c r="L88" s="19"/>
      <c r="M88" s="20"/>
      <c r="N88" s="1"/>
      <c r="O88" s="2"/>
      <c r="P88" s="60"/>
      <c r="Q88" s="60"/>
      <c r="R88" s="60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8" t="str">
        <f t="shared" si="6"/>
        <v>OBRA</v>
      </c>
      <c r="D89" s="58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9" t="str">
        <f>IF(H89="","",MID(VLOOKUP(H89,Codigo_Material!$A$2:$C$9999,2,0),1,30))</f>
        <v/>
      </c>
      <c r="J89" s="59"/>
      <c r="K89" s="50" t="str">
        <f>IF(H89="","",MID(VLOOKUP(H89,Codigo_Material!$A$2:$C$6426,3,0),1,25))</f>
        <v/>
      </c>
      <c r="L89" s="19"/>
      <c r="M89" s="20"/>
      <c r="N89" s="1"/>
      <c r="O89" s="2"/>
      <c r="P89" s="60"/>
      <c r="Q89" s="60"/>
      <c r="R89" s="60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8" t="str">
        <f t="shared" si="6"/>
        <v>OBRA</v>
      </c>
      <c r="D90" s="58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9" t="str">
        <f>IF(H90="","",MID(VLOOKUP(H90,Codigo_Material!$A$2:$C$9999,2,0),1,30))</f>
        <v/>
      </c>
      <c r="J90" s="59"/>
      <c r="K90" s="50" t="str">
        <f>IF(H90="","",MID(VLOOKUP(H90,Codigo_Material!$A$2:$C$6426,3,0),1,25))</f>
        <v/>
      </c>
      <c r="L90" s="19"/>
      <c r="M90" s="20"/>
      <c r="N90" s="1"/>
      <c r="O90" s="2"/>
      <c r="P90" s="60"/>
      <c r="Q90" s="60"/>
      <c r="R90" s="60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8" t="str">
        <f t="shared" si="6"/>
        <v>OBRA</v>
      </c>
      <c r="D91" s="58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9" t="str">
        <f>IF(H91="","",MID(VLOOKUP(H91,Codigo_Material!$A$2:$C$9999,2,0),1,30))</f>
        <v/>
      </c>
      <c r="J91" s="59"/>
      <c r="K91" s="50" t="str">
        <f>IF(H91="","",MID(VLOOKUP(H91,Codigo_Material!$A$2:$C$6426,3,0),1,25))</f>
        <v/>
      </c>
      <c r="L91" s="19"/>
      <c r="M91" s="20"/>
      <c r="N91" s="1"/>
      <c r="O91" s="2"/>
      <c r="P91" s="60"/>
      <c r="Q91" s="60"/>
      <c r="R91" s="60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8" t="str">
        <f t="shared" si="6"/>
        <v>OBRA</v>
      </c>
      <c r="D92" s="58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9" t="str">
        <f>IF(H92="","",MID(VLOOKUP(H92,Codigo_Material!$A$2:$C$9999,2,0),1,30))</f>
        <v/>
      </c>
      <c r="J92" s="59"/>
      <c r="K92" s="50" t="str">
        <f>IF(H92="","",MID(VLOOKUP(H92,Codigo_Material!$A$2:$C$6426,3,0),1,25))</f>
        <v/>
      </c>
      <c r="L92" s="19"/>
      <c r="M92" s="20"/>
      <c r="N92" s="1"/>
      <c r="O92" s="2"/>
      <c r="P92" s="60"/>
      <c r="Q92" s="60"/>
      <c r="R92" s="60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8" t="str">
        <f t="shared" si="6"/>
        <v>OBRA</v>
      </c>
      <c r="D93" s="58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9" t="str">
        <f>IF(H93="","",MID(VLOOKUP(H93,Codigo_Material!$A$2:$C$9999,2,0),1,30))</f>
        <v/>
      </c>
      <c r="J93" s="59"/>
      <c r="K93" s="50" t="str">
        <f>IF(H93="","",MID(VLOOKUP(H93,Codigo_Material!$A$2:$C$6426,3,0),1,25))</f>
        <v/>
      </c>
      <c r="L93" s="19"/>
      <c r="M93" s="20"/>
      <c r="N93" s="1"/>
      <c r="O93" s="2"/>
      <c r="P93" s="60"/>
      <c r="Q93" s="60"/>
      <c r="R93" s="60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8" t="str">
        <f t="shared" si="6"/>
        <v>OBRA</v>
      </c>
      <c r="D94" s="58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9" t="str">
        <f>IF(H94="","",MID(VLOOKUP(H94,Codigo_Material!$A$2:$C$9999,2,0),1,30))</f>
        <v/>
      </c>
      <c r="J94" s="59"/>
      <c r="K94" s="50" t="str">
        <f>IF(H94="","",MID(VLOOKUP(H94,Codigo_Material!$A$2:$C$6426,3,0),1,25))</f>
        <v/>
      </c>
      <c r="L94" s="19"/>
      <c r="M94" s="20"/>
      <c r="N94" s="1"/>
      <c r="O94" s="2"/>
      <c r="P94" s="60"/>
      <c r="Q94" s="60"/>
      <c r="R94" s="60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8" t="str">
        <f t="shared" si="6"/>
        <v>OBRA</v>
      </c>
      <c r="D95" s="58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9" t="str">
        <f>IF(H95="","",MID(VLOOKUP(H95,Codigo_Material!$A$2:$C$9999,2,0),1,30))</f>
        <v/>
      </c>
      <c r="J95" s="59"/>
      <c r="K95" s="50" t="str">
        <f>IF(H95="","",MID(VLOOKUP(H95,Codigo_Material!$A$2:$C$6426,3,0),1,25))</f>
        <v/>
      </c>
      <c r="L95" s="19"/>
      <c r="M95" s="20"/>
      <c r="N95" s="1"/>
      <c r="O95" s="2"/>
      <c r="P95" s="60"/>
      <c r="Q95" s="60"/>
      <c r="R95" s="60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8" t="str">
        <f t="shared" si="6"/>
        <v>OBRA</v>
      </c>
      <c r="D96" s="58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9" t="str">
        <f>IF(H96="","",MID(VLOOKUP(H96,Codigo_Material!$A$2:$C$9999,2,0),1,30))</f>
        <v/>
      </c>
      <c r="J96" s="59"/>
      <c r="K96" s="50" t="str">
        <f>IF(H96="","",MID(VLOOKUP(H96,Codigo_Material!$A$2:$C$6426,3,0),1,25))</f>
        <v/>
      </c>
      <c r="L96" s="19"/>
      <c r="M96" s="20"/>
      <c r="N96" s="1"/>
      <c r="O96" s="2"/>
      <c r="P96" s="60"/>
      <c r="Q96" s="60"/>
      <c r="R96" s="60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8" t="str">
        <f t="shared" si="6"/>
        <v>OBRA</v>
      </c>
      <c r="D97" s="58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9" t="str">
        <f>IF(H97="","",MID(VLOOKUP(H97,Codigo_Material!$A$2:$C$9999,2,0),1,30))</f>
        <v/>
      </c>
      <c r="J97" s="59"/>
      <c r="K97" s="50" t="str">
        <f>IF(H97="","",MID(VLOOKUP(H97,Codigo_Material!$A$2:$C$6426,3,0),1,25))</f>
        <v/>
      </c>
      <c r="L97" s="19"/>
      <c r="M97" s="20"/>
      <c r="N97" s="1"/>
      <c r="O97" s="2"/>
      <c r="P97" s="60"/>
      <c r="Q97" s="60"/>
      <c r="R97" s="60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8" t="str">
        <f t="shared" si="6"/>
        <v>OBRA</v>
      </c>
      <c r="D98" s="58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9" t="str">
        <f>IF(H98="","",MID(VLOOKUP(H98,Codigo_Material!$A$2:$C$9999,2,0),1,30))</f>
        <v/>
      </c>
      <c r="J98" s="59"/>
      <c r="K98" s="50" t="str">
        <f>IF(H98="","",MID(VLOOKUP(H98,Codigo_Material!$A$2:$C$6426,3,0),1,25))</f>
        <v/>
      </c>
      <c r="L98" s="19"/>
      <c r="M98" s="20"/>
      <c r="N98" s="1"/>
      <c r="O98" s="2"/>
      <c r="P98" s="60"/>
      <c r="Q98" s="60"/>
      <c r="R98" s="60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8" t="str">
        <f t="shared" si="6"/>
        <v>OBRA</v>
      </c>
      <c r="D99" s="58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9" t="str">
        <f>IF(H99="","",MID(VLOOKUP(H99,Codigo_Material!$A$2:$C$9999,2,0),1,30))</f>
        <v/>
      </c>
      <c r="J99" s="59"/>
      <c r="K99" s="50" t="str">
        <f>IF(H99="","",MID(VLOOKUP(H99,Codigo_Material!$A$2:$C$6426,3,0),1,25))</f>
        <v/>
      </c>
      <c r="L99" s="19"/>
      <c r="M99" s="20"/>
      <c r="N99" s="1"/>
      <c r="O99" s="2"/>
      <c r="P99" s="60"/>
      <c r="Q99" s="60"/>
      <c r="R99" s="60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8" t="str">
        <f t="shared" si="6"/>
        <v>OBRA</v>
      </c>
      <c r="D100" s="58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9" t="str">
        <f>IF(H100="","",MID(VLOOKUP(H100,Codigo_Material!$A$2:$C$9999,2,0),1,30))</f>
        <v/>
      </c>
      <c r="J100" s="59"/>
      <c r="K100" s="50" t="str">
        <f>IF(H100="","",MID(VLOOKUP(H100,Codigo_Material!$A$2:$C$6426,3,0),1,25))</f>
        <v/>
      </c>
      <c r="L100" s="19"/>
      <c r="M100" s="20"/>
      <c r="N100" s="1"/>
      <c r="O100" s="2"/>
      <c r="P100" s="60"/>
      <c r="Q100" s="60"/>
      <c r="R100" s="60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8" t="str">
        <f t="shared" si="6"/>
        <v>OBRA</v>
      </c>
      <c r="D101" s="58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9" t="str">
        <f>IF(H101="","",MID(VLOOKUP(H101,Codigo_Material!$A$2:$C$9999,2,0),1,30))</f>
        <v/>
      </c>
      <c r="J101" s="59"/>
      <c r="K101" s="50" t="str">
        <f>IF(H101="","",MID(VLOOKUP(H101,Codigo_Material!$A$2:$C$6426,3,0),1,25))</f>
        <v/>
      </c>
      <c r="L101" s="19"/>
      <c r="M101" s="20"/>
      <c r="N101" s="1"/>
      <c r="O101" s="2"/>
      <c r="P101" s="60"/>
      <c r="Q101" s="60"/>
      <c r="R101" s="60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8" t="str">
        <f t="shared" si="6"/>
        <v>OBRA</v>
      </c>
      <c r="D102" s="58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9" t="str">
        <f>IF(H102="","",MID(VLOOKUP(H102,Codigo_Material!$A$2:$C$9999,2,0),1,30))</f>
        <v/>
      </c>
      <c r="J102" s="59"/>
      <c r="K102" s="50" t="str">
        <f>IF(H102="","",MID(VLOOKUP(H102,Codigo_Material!$A$2:$C$6426,3,0),1,25))</f>
        <v/>
      </c>
      <c r="L102" s="19"/>
      <c r="M102" s="20"/>
      <c r="N102" s="1"/>
      <c r="O102" s="2"/>
      <c r="P102" s="60"/>
      <c r="Q102" s="60"/>
      <c r="R102" s="60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8" t="str">
        <f t="shared" si="6"/>
        <v>OBRA</v>
      </c>
      <c r="D103" s="58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9" t="str">
        <f>IF(H103="","",MID(VLOOKUP(H103,Codigo_Material!$A$2:$C$9999,2,0),1,30))</f>
        <v/>
      </c>
      <c r="J103" s="59"/>
      <c r="K103" s="50" t="str">
        <f>IF(H103="","",MID(VLOOKUP(H103,Codigo_Material!$A$2:$C$6426,3,0),1,25))</f>
        <v/>
      </c>
      <c r="L103" s="19"/>
      <c r="M103" s="20"/>
      <c r="N103" s="1"/>
      <c r="O103" s="2"/>
      <c r="P103" s="60"/>
      <c r="Q103" s="60"/>
      <c r="R103" s="60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8" t="str">
        <f t="shared" si="6"/>
        <v>OBRA</v>
      </c>
      <c r="D104" s="58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9" t="str">
        <f>IF(H104="","",MID(VLOOKUP(H104,Codigo_Material!$A$2:$C$9999,2,0),1,30))</f>
        <v/>
      </c>
      <c r="J104" s="59"/>
      <c r="K104" s="50" t="str">
        <f>IF(H104="","",MID(VLOOKUP(H104,Codigo_Material!$A$2:$C$6426,3,0),1,25))</f>
        <v/>
      </c>
      <c r="L104" s="19"/>
      <c r="M104" s="20"/>
      <c r="N104" s="1"/>
      <c r="O104" s="2"/>
      <c r="P104" s="60"/>
      <c r="Q104" s="60"/>
      <c r="R104" s="60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8" t="str">
        <f t="shared" si="6"/>
        <v>OBRA</v>
      </c>
      <c r="D105" s="58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9" t="str">
        <f>IF(H105="","",MID(VLOOKUP(H105,Codigo_Material!$A$2:$C$9999,2,0),1,30))</f>
        <v/>
      </c>
      <c r="J105" s="59"/>
      <c r="K105" s="50" t="str">
        <f>IF(H105="","",MID(VLOOKUP(H105,Codigo_Material!$A$2:$C$6426,3,0),1,25))</f>
        <v/>
      </c>
      <c r="L105" s="19"/>
      <c r="M105" s="20"/>
      <c r="N105" s="1"/>
      <c r="O105" s="2"/>
      <c r="P105" s="60"/>
      <c r="Q105" s="60"/>
      <c r="R105" s="60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8" t="str">
        <f t="shared" si="6"/>
        <v>OBRA</v>
      </c>
      <c r="D106" s="58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9" t="str">
        <f>IF(H106="","",MID(VLOOKUP(H106,Codigo_Material!$A$2:$C$9999,2,0),1,30))</f>
        <v/>
      </c>
      <c r="J106" s="59"/>
      <c r="K106" s="50" t="str">
        <f>IF(H106="","",MID(VLOOKUP(H106,Codigo_Material!$A$2:$C$6426,3,0),1,25))</f>
        <v/>
      </c>
      <c r="L106" s="19"/>
      <c r="M106" s="20"/>
      <c r="N106" s="1"/>
      <c r="O106" s="2"/>
      <c r="P106" s="60"/>
      <c r="Q106" s="60"/>
      <c r="R106" s="60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8" t="str">
        <f t="shared" si="6"/>
        <v>OBRA</v>
      </c>
      <c r="D107" s="58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9" t="str">
        <f>IF(H107="","",MID(VLOOKUP(H107,Codigo_Material!$A$2:$C$9999,2,0),1,30))</f>
        <v/>
      </c>
      <c r="J107" s="59"/>
      <c r="K107" s="50" t="str">
        <f>IF(H107="","",MID(VLOOKUP(H107,Codigo_Material!$A$2:$C$6426,3,0),1,25))</f>
        <v/>
      </c>
      <c r="L107" s="19"/>
      <c r="M107" s="20"/>
      <c r="N107" s="1"/>
      <c r="O107" s="2"/>
      <c r="P107" s="60"/>
      <c r="Q107" s="60"/>
      <c r="R107" s="60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8" t="str">
        <f t="shared" si="6"/>
        <v>OBRA</v>
      </c>
      <c r="D108" s="58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9" t="str">
        <f>IF(H108="","",MID(VLOOKUP(H108,Codigo_Material!$A$2:$C$9999,2,0),1,30))</f>
        <v/>
      </c>
      <c r="J108" s="59"/>
      <c r="K108" s="50" t="str">
        <f>IF(H108="","",MID(VLOOKUP(H108,Codigo_Material!$A$2:$C$6426,3,0),1,25))</f>
        <v/>
      </c>
      <c r="L108" s="19"/>
      <c r="M108" s="20"/>
      <c r="N108" s="1"/>
      <c r="O108" s="2"/>
      <c r="P108" s="60"/>
      <c r="Q108" s="60"/>
      <c r="R108" s="60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8" t="str">
        <f t="shared" si="6"/>
        <v>OBRA</v>
      </c>
      <c r="D109" s="58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9" t="str">
        <f>IF(H109="","",MID(VLOOKUP(H109,Codigo_Material!$A$2:$C$9999,2,0),1,30))</f>
        <v/>
      </c>
      <c r="J109" s="59"/>
      <c r="K109" s="50" t="str">
        <f>IF(H109="","",MID(VLOOKUP(H109,Codigo_Material!$A$2:$C$6426,3,0),1,25))</f>
        <v/>
      </c>
      <c r="L109" s="19"/>
      <c r="M109" s="20"/>
      <c r="N109" s="1"/>
      <c r="O109" s="2"/>
      <c r="P109" s="60"/>
      <c r="Q109" s="60"/>
      <c r="R109" s="60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8" t="str">
        <f t="shared" si="6"/>
        <v>OBRA</v>
      </c>
      <c r="D110" s="58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9" t="str">
        <f>IF(H110="","",MID(VLOOKUP(H110,Codigo_Material!$A$2:$C$9999,2,0),1,30))</f>
        <v/>
      </c>
      <c r="J110" s="59"/>
      <c r="K110" s="50" t="str">
        <f>IF(H110="","",MID(VLOOKUP(H110,Codigo_Material!$A$2:$C$6426,3,0),1,25))</f>
        <v/>
      </c>
      <c r="L110" s="19"/>
      <c r="M110" s="20"/>
      <c r="N110" s="1"/>
      <c r="O110" s="2"/>
      <c r="P110" s="60"/>
      <c r="Q110" s="60"/>
      <c r="R110" s="60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8" t="str">
        <f t="shared" si="6"/>
        <v>OBRA</v>
      </c>
      <c r="D111" s="58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9" t="str">
        <f>IF(H111="","",MID(VLOOKUP(H111,Codigo_Material!$A$2:$C$9999,2,0),1,30))</f>
        <v/>
      </c>
      <c r="J111" s="59"/>
      <c r="K111" s="50" t="str">
        <f>IF(H111="","",MID(VLOOKUP(H111,Codigo_Material!$A$2:$C$6426,3,0),1,25))</f>
        <v/>
      </c>
      <c r="L111" s="19"/>
      <c r="M111" s="20"/>
      <c r="N111" s="1"/>
      <c r="O111" s="2"/>
      <c r="P111" s="60"/>
      <c r="Q111" s="60"/>
      <c r="R111" s="60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8" t="str">
        <f t="shared" si="6"/>
        <v>OBRA</v>
      </c>
      <c r="D112" s="58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9" t="str">
        <f>IF(H112="","",MID(VLOOKUP(H112,Codigo_Material!$A$2:$C$9999,2,0),1,30))</f>
        <v/>
      </c>
      <c r="J112" s="59"/>
      <c r="K112" s="50" t="str">
        <f>IF(H112="","",MID(VLOOKUP(H112,Codigo_Material!$A$2:$C$6426,3,0),1,25))</f>
        <v/>
      </c>
      <c r="L112" s="19"/>
      <c r="M112" s="20"/>
      <c r="N112" s="1"/>
      <c r="O112" s="2"/>
      <c r="P112" s="60"/>
      <c r="Q112" s="60"/>
      <c r="R112" s="60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8" t="str">
        <f t="shared" si="6"/>
        <v>OBRA</v>
      </c>
      <c r="D113" s="58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9" t="str">
        <f>IF(H113="","",MID(VLOOKUP(H113,Codigo_Material!$A$2:$C$9999,2,0),1,30))</f>
        <v/>
      </c>
      <c r="J113" s="59"/>
      <c r="K113" s="50" t="str">
        <f>IF(H113="","",MID(VLOOKUP(H113,Codigo_Material!$A$2:$C$6426,3,0),1,25))</f>
        <v/>
      </c>
      <c r="L113" s="19"/>
      <c r="M113" s="20"/>
      <c r="N113" s="1"/>
      <c r="O113" s="2"/>
      <c r="P113" s="60"/>
      <c r="Q113" s="60"/>
      <c r="R113" s="60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8" t="str">
        <f t="shared" si="6"/>
        <v>OBRA</v>
      </c>
      <c r="D114" s="58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9" t="str">
        <f>IF(H114="","",MID(VLOOKUP(H114,Codigo_Material!$A$2:$C$9999,2,0),1,30))</f>
        <v/>
      </c>
      <c r="J114" s="59"/>
      <c r="K114" s="50" t="str">
        <f>IF(H114="","",MID(VLOOKUP(H114,Codigo_Material!$A$2:$C$6426,3,0),1,25))</f>
        <v/>
      </c>
      <c r="L114" s="19"/>
      <c r="M114" s="20"/>
      <c r="N114" s="1"/>
      <c r="O114" s="2"/>
      <c r="P114" s="60"/>
      <c r="Q114" s="60"/>
      <c r="R114" s="60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8" t="str">
        <f t="shared" si="6"/>
        <v>OBRA</v>
      </c>
      <c r="D115" s="58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9" t="str">
        <f>IF(H115="","",MID(VLOOKUP(H115,Codigo_Material!$A$2:$C$9999,2,0),1,30))</f>
        <v/>
      </c>
      <c r="J115" s="59"/>
      <c r="K115" s="50" t="str">
        <f>IF(H115="","",MID(VLOOKUP(H115,Codigo_Material!$A$2:$C$6426,3,0),1,25))</f>
        <v/>
      </c>
      <c r="L115" s="19"/>
      <c r="M115" s="20"/>
      <c r="N115" s="1"/>
      <c r="O115" s="2"/>
      <c r="P115" s="60"/>
      <c r="Q115" s="60"/>
      <c r="R115" s="60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8" t="str">
        <f t="shared" si="6"/>
        <v>OBRA</v>
      </c>
      <c r="D116" s="58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9" t="str">
        <f>IF(H116="","",MID(VLOOKUP(H116,Codigo_Material!$A$2:$C$9999,2,0),1,30))</f>
        <v/>
      </c>
      <c r="J116" s="59"/>
      <c r="K116" s="50" t="str">
        <f>IF(H116="","",MID(VLOOKUP(H116,Codigo_Material!$A$2:$C$6426,3,0),1,25))</f>
        <v/>
      </c>
      <c r="L116" s="19"/>
      <c r="M116" s="20"/>
      <c r="N116" s="1"/>
      <c r="O116" s="2"/>
      <c r="P116" s="60"/>
      <c r="Q116" s="60"/>
      <c r="R116" s="60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8" t="str">
        <f t="shared" si="6"/>
        <v>OBRA</v>
      </c>
      <c r="D117" s="58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9" t="str">
        <f>IF(H117="","",MID(VLOOKUP(H117,Codigo_Material!$A$2:$C$9999,2,0),1,30))</f>
        <v/>
      </c>
      <c r="J117" s="59"/>
      <c r="K117" s="50" t="str">
        <f>IF(H117="","",MID(VLOOKUP(H117,Codigo_Material!$A$2:$C$6426,3,0),1,25))</f>
        <v/>
      </c>
      <c r="L117" s="19"/>
      <c r="M117" s="20"/>
      <c r="N117" s="1"/>
      <c r="O117" s="2"/>
      <c r="P117" s="60"/>
      <c r="Q117" s="60"/>
      <c r="R117" s="60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8" t="str">
        <f t="shared" si="6"/>
        <v>OBRA</v>
      </c>
      <c r="D118" s="58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9" t="str">
        <f>IF(H118="","",MID(VLOOKUP(H118,Codigo_Material!$A$2:$C$9999,2,0),1,30))</f>
        <v/>
      </c>
      <c r="J118" s="59"/>
      <c r="K118" s="50" t="str">
        <f>IF(H118="","",MID(VLOOKUP(H118,Codigo_Material!$A$2:$C$6426,3,0),1,25))</f>
        <v/>
      </c>
      <c r="L118" s="19"/>
      <c r="M118" s="20"/>
      <c r="N118" s="1"/>
      <c r="O118" s="2"/>
      <c r="P118" s="60"/>
      <c r="Q118" s="60"/>
      <c r="R118" s="60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8" t="str">
        <f t="shared" si="6"/>
        <v>OBRA</v>
      </c>
      <c r="D119" s="58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9" t="str">
        <f>IF(H119="","",MID(VLOOKUP(H119,Codigo_Material!$A$2:$C$9999,2,0),1,30))</f>
        <v/>
      </c>
      <c r="J119" s="59"/>
      <c r="K119" s="50" t="str">
        <f>IF(H119="","",MID(VLOOKUP(H119,Codigo_Material!$A$2:$C$6426,3,0),1,25))</f>
        <v/>
      </c>
      <c r="L119" s="19"/>
      <c r="M119" s="20"/>
      <c r="N119" s="1"/>
      <c r="O119" s="2"/>
      <c r="P119" s="60"/>
      <c r="Q119" s="60"/>
      <c r="R119" s="60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8" t="str">
        <f t="shared" si="6"/>
        <v>OBRA</v>
      </c>
      <c r="D120" s="58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9" t="str">
        <f>IF(H120="","",MID(VLOOKUP(H120,Codigo_Material!$A$2:$C$9999,2,0),1,30))</f>
        <v/>
      </c>
      <c r="J120" s="59"/>
      <c r="K120" s="50" t="str">
        <f>IF(H120="","",MID(VLOOKUP(H120,Codigo_Material!$A$2:$C$6426,3,0),1,25))</f>
        <v/>
      </c>
      <c r="L120" s="19"/>
      <c r="M120" s="20"/>
      <c r="N120" s="1"/>
      <c r="O120" s="2"/>
      <c r="P120" s="60"/>
      <c r="Q120" s="60"/>
      <c r="R120" s="60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8" t="str">
        <f t="shared" si="6"/>
        <v>OBRA</v>
      </c>
      <c r="D121" s="58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9" t="str">
        <f>IF(H121="","",MID(VLOOKUP(H121,Codigo_Material!$A$2:$C$9999,2,0),1,30))</f>
        <v/>
      </c>
      <c r="J121" s="59"/>
      <c r="K121" s="50" t="str">
        <f>IF(H121="","",MID(VLOOKUP(H121,Codigo_Material!$A$2:$C$6426,3,0),1,25))</f>
        <v/>
      </c>
      <c r="L121" s="19"/>
      <c r="M121" s="20"/>
      <c r="N121" s="1"/>
      <c r="O121" s="2"/>
      <c r="P121" s="60"/>
      <c r="Q121" s="60"/>
      <c r="R121" s="60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8" t="str">
        <f t="shared" si="6"/>
        <v>OBRA</v>
      </c>
      <c r="D122" s="58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9" t="str">
        <f>IF(H122="","",MID(VLOOKUP(H122,Codigo_Material!$A$2:$C$9999,2,0),1,30))</f>
        <v/>
      </c>
      <c r="J122" s="59"/>
      <c r="K122" s="50" t="str">
        <f>IF(H122="","",MID(VLOOKUP(H122,Codigo_Material!$A$2:$C$6426,3,0),1,25))</f>
        <v/>
      </c>
      <c r="L122" s="19"/>
      <c r="M122" s="20"/>
      <c r="N122" s="1"/>
      <c r="O122" s="2"/>
      <c r="P122" s="60"/>
      <c r="Q122" s="60"/>
      <c r="R122" s="60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8" t="str">
        <f t="shared" si="6"/>
        <v>OBRA</v>
      </c>
      <c r="D123" s="58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9" t="str">
        <f>IF(H123="","",MID(VLOOKUP(H123,Codigo_Material!$A$2:$C$9999,2,0),1,30))</f>
        <v/>
      </c>
      <c r="J123" s="59"/>
      <c r="K123" s="50" t="str">
        <f>IF(H123="","",MID(VLOOKUP(H123,Codigo_Material!$A$2:$C$6426,3,0),1,25))</f>
        <v/>
      </c>
      <c r="L123" s="19"/>
      <c r="M123" s="20"/>
      <c r="N123" s="1"/>
      <c r="O123" s="2"/>
      <c r="P123" s="60"/>
      <c r="Q123" s="60"/>
      <c r="R123" s="60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8" t="str">
        <f t="shared" si="6"/>
        <v>OBRA</v>
      </c>
      <c r="D124" s="58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9" t="str">
        <f>IF(H124="","",MID(VLOOKUP(H124,Codigo_Material!$A$2:$C$9999,2,0),1,30))</f>
        <v/>
      </c>
      <c r="J124" s="59"/>
      <c r="K124" s="50" t="str">
        <f>IF(H124="","",MID(VLOOKUP(H124,Codigo_Material!$A$2:$C$6426,3,0),1,25))</f>
        <v/>
      </c>
      <c r="L124" s="19"/>
      <c r="M124" s="20"/>
      <c r="N124" s="1"/>
      <c r="O124" s="2"/>
      <c r="P124" s="60"/>
      <c r="Q124" s="60"/>
      <c r="R124" s="60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8" t="str">
        <f t="shared" si="6"/>
        <v>OBRA</v>
      </c>
      <c r="D125" s="58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9" t="str">
        <f>IF(H125="","",MID(VLOOKUP(H125,Codigo_Material!$A$2:$C$9999,2,0),1,30))</f>
        <v/>
      </c>
      <c r="J125" s="59"/>
      <c r="K125" s="50" t="str">
        <f>IF(H125="","",MID(VLOOKUP(H125,Codigo_Material!$A$2:$C$6426,3,0),1,25))</f>
        <v/>
      </c>
      <c r="L125" s="19"/>
      <c r="M125" s="20"/>
      <c r="N125" s="1"/>
      <c r="O125" s="2"/>
      <c r="P125" s="60"/>
      <c r="Q125" s="60"/>
      <c r="R125" s="60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8" t="str">
        <f t="shared" si="6"/>
        <v>OBRA</v>
      </c>
      <c r="D126" s="58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9" t="str">
        <f>IF(H126="","",MID(VLOOKUP(H126,Codigo_Material!$A$2:$C$9999,2,0),1,30))</f>
        <v/>
      </c>
      <c r="J126" s="59"/>
      <c r="K126" s="50" t="str">
        <f>IF(H126="","",MID(VLOOKUP(H126,Codigo_Material!$A$2:$C$6426,3,0),1,25))</f>
        <v/>
      </c>
      <c r="L126" s="19"/>
      <c r="M126" s="20"/>
      <c r="N126" s="1"/>
      <c r="O126" s="2"/>
      <c r="P126" s="60"/>
      <c r="Q126" s="60"/>
      <c r="R126" s="60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8" t="str">
        <f t="shared" si="6"/>
        <v>OBRA</v>
      </c>
      <c r="D127" s="58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9" t="str">
        <f>IF(H127="","",MID(VLOOKUP(H127,Codigo_Material!$A$2:$C$9999,2,0),1,30))</f>
        <v/>
      </c>
      <c r="J127" s="59"/>
      <c r="K127" s="50" t="str">
        <f>IF(H127="","",MID(VLOOKUP(H127,Codigo_Material!$A$2:$C$6426,3,0),1,25))</f>
        <v/>
      </c>
      <c r="L127" s="19"/>
      <c r="M127" s="20"/>
      <c r="N127" s="1"/>
      <c r="O127" s="2"/>
      <c r="P127" s="60"/>
      <c r="Q127" s="60"/>
      <c r="R127" s="60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8" t="str">
        <f t="shared" si="6"/>
        <v>OBRA</v>
      </c>
      <c r="D128" s="58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9" t="str">
        <f>IF(H128="","",MID(VLOOKUP(H128,Codigo_Material!$A$2:$C$9999,2,0),1,30))</f>
        <v/>
      </c>
      <c r="J128" s="59"/>
      <c r="K128" s="50" t="str">
        <f>IF(H128="","",MID(VLOOKUP(H128,Codigo_Material!$A$2:$C$6426,3,0),1,25))</f>
        <v/>
      </c>
      <c r="L128" s="19"/>
      <c r="M128" s="20"/>
      <c r="N128" s="1"/>
      <c r="O128" s="2"/>
      <c r="P128" s="60"/>
      <c r="Q128" s="60"/>
      <c r="R128" s="60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8" t="str">
        <f t="shared" si="6"/>
        <v>OBRA</v>
      </c>
      <c r="D129" s="58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9" t="str">
        <f>IF(H129="","",MID(VLOOKUP(H129,Codigo_Material!$A$2:$C$9999,2,0),1,30))</f>
        <v/>
      </c>
      <c r="J129" s="59"/>
      <c r="K129" s="50" t="str">
        <f>IF(H129="","",MID(VLOOKUP(H129,Codigo_Material!$A$2:$C$6426,3,0),1,25))</f>
        <v/>
      </c>
      <c r="L129" s="19"/>
      <c r="M129" s="20"/>
      <c r="N129" s="1"/>
      <c r="O129" s="2"/>
      <c r="P129" s="60"/>
      <c r="Q129" s="60"/>
      <c r="R129" s="60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8" t="str">
        <f t="shared" si="6"/>
        <v>OBRA</v>
      </c>
      <c r="D130" s="58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9" t="str">
        <f>IF(H130="","",MID(VLOOKUP(H130,Codigo_Material!$A$2:$C$9999,2,0),1,30))</f>
        <v/>
      </c>
      <c r="J130" s="59"/>
      <c r="K130" s="50" t="str">
        <f>IF(H130="","",MID(VLOOKUP(H130,Codigo_Material!$A$2:$C$6426,3,0),1,25))</f>
        <v/>
      </c>
      <c r="L130" s="19"/>
      <c r="M130" s="20"/>
      <c r="N130" s="1"/>
      <c r="O130" s="2"/>
      <c r="P130" s="60"/>
      <c r="Q130" s="60"/>
      <c r="R130" s="60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8" t="str">
        <f t="shared" si="6"/>
        <v>OBRA</v>
      </c>
      <c r="D131" s="58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9" t="str">
        <f>IF(H131="","",MID(VLOOKUP(H131,Codigo_Material!$A$2:$C$9999,2,0),1,30))</f>
        <v/>
      </c>
      <c r="J131" s="59"/>
      <c r="K131" s="50" t="str">
        <f>IF(H131="","",MID(VLOOKUP(H131,Codigo_Material!$A$2:$C$6426,3,0),1,25))</f>
        <v/>
      </c>
      <c r="L131" s="19"/>
      <c r="M131" s="20"/>
      <c r="N131" s="1"/>
      <c r="O131" s="2"/>
      <c r="P131" s="60"/>
      <c r="Q131" s="60"/>
      <c r="R131" s="60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8" t="str">
        <f t="shared" si="6"/>
        <v>OBRA</v>
      </c>
      <c r="D132" s="58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9" t="str">
        <f>IF(H132="","",MID(VLOOKUP(H132,Codigo_Material!$A$2:$C$9999,2,0),1,30))</f>
        <v/>
      </c>
      <c r="J132" s="59"/>
      <c r="K132" s="50" t="str">
        <f>IF(H132="","",MID(VLOOKUP(H132,Codigo_Material!$A$2:$C$6426,3,0),1,25))</f>
        <v/>
      </c>
      <c r="L132" s="19"/>
      <c r="M132" s="20"/>
      <c r="N132" s="1"/>
      <c r="O132" s="2"/>
      <c r="P132" s="60"/>
      <c r="Q132" s="60"/>
      <c r="R132" s="60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8" t="str">
        <f t="shared" si="6"/>
        <v>OBRA</v>
      </c>
      <c r="D133" s="58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9" t="str">
        <f>IF(H133="","",MID(VLOOKUP(H133,Codigo_Material!$A$2:$C$9999,2,0),1,30))</f>
        <v/>
      </c>
      <c r="J133" s="59"/>
      <c r="K133" s="50" t="str">
        <f>IF(H133="","",MID(VLOOKUP(H133,Codigo_Material!$A$2:$C$6426,3,0),1,25))</f>
        <v/>
      </c>
      <c r="L133" s="19"/>
      <c r="M133" s="20"/>
      <c r="N133" s="1"/>
      <c r="O133" s="2"/>
      <c r="P133" s="60"/>
      <c r="Q133" s="60"/>
      <c r="R133" s="60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8" t="str">
        <f t="shared" si="6"/>
        <v>OBRA</v>
      </c>
      <c r="D134" s="58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9" t="str">
        <f>IF(H134="","",MID(VLOOKUP(H134,Codigo_Material!$A$2:$C$9999,2,0),1,30))</f>
        <v/>
      </c>
      <c r="J134" s="59"/>
      <c r="K134" s="50" t="str">
        <f>IF(H134="","",MID(VLOOKUP(H134,Codigo_Material!$A$2:$C$6426,3,0),1,25))</f>
        <v/>
      </c>
      <c r="L134" s="19"/>
      <c r="M134" s="20"/>
      <c r="N134" s="1"/>
      <c r="O134" s="2"/>
      <c r="P134" s="60"/>
      <c r="Q134" s="60"/>
      <c r="R134" s="60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8" t="str">
        <f t="shared" si="6"/>
        <v>OBRA</v>
      </c>
      <c r="D135" s="58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9" t="str">
        <f>IF(H135="","",MID(VLOOKUP(H135,Codigo_Material!$A$2:$C$9999,2,0),1,30))</f>
        <v/>
      </c>
      <c r="J135" s="59"/>
      <c r="K135" s="50" t="str">
        <f>IF(H135="","",MID(VLOOKUP(H135,Codigo_Material!$A$2:$C$6426,3,0),1,25))</f>
        <v/>
      </c>
      <c r="L135" s="19"/>
      <c r="M135" s="20"/>
      <c r="N135" s="1"/>
      <c r="O135" s="2"/>
      <c r="P135" s="60"/>
      <c r="Q135" s="60"/>
      <c r="R135" s="60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8" t="str">
        <f t="shared" si="6"/>
        <v>OBRA</v>
      </c>
      <c r="D136" s="58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9" t="str">
        <f>IF(H136="","",MID(VLOOKUP(H136,Codigo_Material!$A$2:$C$9999,2,0),1,30))</f>
        <v/>
      </c>
      <c r="J136" s="59"/>
      <c r="K136" s="50" t="str">
        <f>IF(H136="","",MID(VLOOKUP(H136,Codigo_Material!$A$2:$C$6426,3,0),1,25))</f>
        <v/>
      </c>
      <c r="L136" s="19"/>
      <c r="M136" s="20"/>
      <c r="N136" s="1"/>
      <c r="O136" s="2"/>
      <c r="P136" s="60"/>
      <c r="Q136" s="60"/>
      <c r="R136" s="60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8" t="str">
        <f t="shared" si="6"/>
        <v>OBRA</v>
      </c>
      <c r="D137" s="58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9" t="str">
        <f>IF(H137="","",MID(VLOOKUP(H137,Codigo_Material!$A$2:$C$9999,2,0),1,30))</f>
        <v/>
      </c>
      <c r="J137" s="59"/>
      <c r="K137" s="50" t="str">
        <f>IF(H137="","",MID(VLOOKUP(H137,Codigo_Material!$A$2:$C$6426,3,0),1,25))</f>
        <v/>
      </c>
      <c r="L137" s="19"/>
      <c r="M137" s="20"/>
      <c r="N137" s="1"/>
      <c r="O137" s="2"/>
      <c r="P137" s="60"/>
      <c r="Q137" s="60"/>
      <c r="R137" s="60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8" t="str">
        <f t="shared" si="6"/>
        <v>OBRA</v>
      </c>
      <c r="D138" s="58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9" t="str">
        <f>IF(H138="","",MID(VLOOKUP(H138,Codigo_Material!$A$2:$C$9999,2,0),1,30))</f>
        <v/>
      </c>
      <c r="J138" s="59"/>
      <c r="K138" s="50" t="str">
        <f>IF(H138="","",MID(VLOOKUP(H138,Codigo_Material!$A$2:$C$6426,3,0),1,25))</f>
        <v/>
      </c>
      <c r="L138" s="19"/>
      <c r="M138" s="20"/>
      <c r="N138" s="1"/>
      <c r="O138" s="2"/>
      <c r="P138" s="60"/>
      <c r="Q138" s="60"/>
      <c r="R138" s="60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8" t="str">
        <f t="shared" ref="C139:C200" si="11">IF($F$5="","",$F$5)</f>
        <v>OBRA</v>
      </c>
      <c r="D139" s="58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9" t="str">
        <f>IF(H139="","",MID(VLOOKUP(H139,Codigo_Material!$A$2:$C$9999,2,0),1,30))</f>
        <v/>
      </c>
      <c r="J139" s="59"/>
      <c r="K139" s="50" t="str">
        <f>IF(H139="","",MID(VLOOKUP(H139,Codigo_Material!$A$2:$C$6426,3,0),1,25))</f>
        <v/>
      </c>
      <c r="L139" s="19"/>
      <c r="M139" s="20"/>
      <c r="N139" s="1"/>
      <c r="O139" s="2"/>
      <c r="P139" s="60"/>
      <c r="Q139" s="60"/>
      <c r="R139" s="60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8" t="str">
        <f t="shared" si="11"/>
        <v>OBRA</v>
      </c>
      <c r="D140" s="58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9" t="str">
        <f>IF(H140="","",MID(VLOOKUP(H140,Codigo_Material!$A$2:$C$9999,2,0),1,30))</f>
        <v/>
      </c>
      <c r="J140" s="59"/>
      <c r="K140" s="50" t="str">
        <f>IF(H140="","",MID(VLOOKUP(H140,Codigo_Material!$A$2:$C$6426,3,0),1,25))</f>
        <v/>
      </c>
      <c r="L140" s="19"/>
      <c r="M140" s="20"/>
      <c r="N140" s="1"/>
      <c r="O140" s="2"/>
      <c r="P140" s="60"/>
      <c r="Q140" s="60"/>
      <c r="R140" s="60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8" t="str">
        <f t="shared" si="11"/>
        <v>OBRA</v>
      </c>
      <c r="D141" s="58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9" t="str">
        <f>IF(H141="","",MID(VLOOKUP(H141,Codigo_Material!$A$2:$C$9999,2,0),1,30))</f>
        <v/>
      </c>
      <c r="J141" s="59"/>
      <c r="K141" s="50" t="str">
        <f>IF(H141="","",MID(VLOOKUP(H141,Codigo_Material!$A$2:$C$6426,3,0),1,25))</f>
        <v/>
      </c>
      <c r="L141" s="19"/>
      <c r="M141" s="20"/>
      <c r="N141" s="1"/>
      <c r="O141" s="2"/>
      <c r="P141" s="60"/>
      <c r="Q141" s="60"/>
      <c r="R141" s="60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8" t="str">
        <f t="shared" si="11"/>
        <v>OBRA</v>
      </c>
      <c r="D142" s="58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9" t="str">
        <f>IF(H142="","",MID(VLOOKUP(H142,Codigo_Material!$A$2:$C$9999,2,0),1,30))</f>
        <v/>
      </c>
      <c r="J142" s="59"/>
      <c r="K142" s="50" t="str">
        <f>IF(H142="","",MID(VLOOKUP(H142,Codigo_Material!$A$2:$C$6426,3,0),1,25))</f>
        <v/>
      </c>
      <c r="L142" s="19"/>
      <c r="M142" s="20"/>
      <c r="N142" s="1"/>
      <c r="O142" s="2"/>
      <c r="P142" s="60"/>
      <c r="Q142" s="60"/>
      <c r="R142" s="60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8" t="str">
        <f t="shared" si="11"/>
        <v>OBRA</v>
      </c>
      <c r="D143" s="58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9" t="str">
        <f>IF(H143="","",MID(VLOOKUP(H143,Codigo_Material!$A$2:$C$9999,2,0),1,30))</f>
        <v/>
      </c>
      <c r="J143" s="59"/>
      <c r="K143" s="50" t="str">
        <f>IF(H143="","",MID(VLOOKUP(H143,Codigo_Material!$A$2:$C$6426,3,0),1,25))</f>
        <v/>
      </c>
      <c r="L143" s="19"/>
      <c r="M143" s="20"/>
      <c r="N143" s="1"/>
      <c r="O143" s="2"/>
      <c r="P143" s="60"/>
      <c r="Q143" s="60"/>
      <c r="R143" s="60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8" t="str">
        <f t="shared" si="11"/>
        <v>OBRA</v>
      </c>
      <c r="D144" s="58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9" t="str">
        <f>IF(H144="","",MID(VLOOKUP(H144,Codigo_Material!$A$2:$C$9999,2,0),1,30))</f>
        <v/>
      </c>
      <c r="J144" s="59"/>
      <c r="K144" s="50" t="str">
        <f>IF(H144="","",MID(VLOOKUP(H144,Codigo_Material!$A$2:$C$6426,3,0),1,25))</f>
        <v/>
      </c>
      <c r="L144" s="19"/>
      <c r="M144" s="20"/>
      <c r="N144" s="1"/>
      <c r="O144" s="2"/>
      <c r="P144" s="60"/>
      <c r="Q144" s="60"/>
      <c r="R144" s="60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8" t="str">
        <f t="shared" si="11"/>
        <v>OBRA</v>
      </c>
      <c r="D145" s="58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9" t="str">
        <f>IF(H145="","",MID(VLOOKUP(H145,Codigo_Material!$A$2:$C$9999,2,0),1,30))</f>
        <v/>
      </c>
      <c r="J145" s="59"/>
      <c r="K145" s="50" t="str">
        <f>IF(H145="","",MID(VLOOKUP(H145,Codigo_Material!$A$2:$C$6426,3,0),1,25))</f>
        <v/>
      </c>
      <c r="L145" s="19"/>
      <c r="M145" s="20"/>
      <c r="N145" s="1"/>
      <c r="O145" s="2"/>
      <c r="P145" s="60"/>
      <c r="Q145" s="60"/>
      <c r="R145" s="60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8" t="str">
        <f t="shared" si="11"/>
        <v>OBRA</v>
      </c>
      <c r="D146" s="58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9" t="str">
        <f>IF(H146="","",MID(VLOOKUP(H146,Codigo_Material!$A$2:$C$9999,2,0),1,30))</f>
        <v/>
      </c>
      <c r="J146" s="59"/>
      <c r="K146" s="50" t="str">
        <f>IF(H146="","",MID(VLOOKUP(H146,Codigo_Material!$A$2:$C$6426,3,0),1,25))</f>
        <v/>
      </c>
      <c r="L146" s="19"/>
      <c r="M146" s="20"/>
      <c r="N146" s="1"/>
      <c r="O146" s="2"/>
      <c r="P146" s="60"/>
      <c r="Q146" s="60"/>
      <c r="R146" s="60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8" t="str">
        <f t="shared" si="11"/>
        <v>OBRA</v>
      </c>
      <c r="D147" s="58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9" t="str">
        <f>IF(H147="","",MID(VLOOKUP(H147,Codigo_Material!$A$2:$C$9999,2,0),1,30))</f>
        <v/>
      </c>
      <c r="J147" s="59"/>
      <c r="K147" s="50" t="str">
        <f>IF(H147="","",MID(VLOOKUP(H147,Codigo_Material!$A$2:$C$6426,3,0),1,25))</f>
        <v/>
      </c>
      <c r="L147" s="19"/>
      <c r="M147" s="20"/>
      <c r="N147" s="1"/>
      <c r="O147" s="2"/>
      <c r="P147" s="60"/>
      <c r="Q147" s="60"/>
      <c r="R147" s="60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8" t="str">
        <f t="shared" si="11"/>
        <v>OBRA</v>
      </c>
      <c r="D148" s="58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9" t="str">
        <f>IF(H148="","",MID(VLOOKUP(H148,Codigo_Material!$A$2:$C$9999,2,0),1,30))</f>
        <v/>
      </c>
      <c r="J148" s="59"/>
      <c r="K148" s="50" t="str">
        <f>IF(H148="","",MID(VLOOKUP(H148,Codigo_Material!$A$2:$C$6426,3,0),1,25))</f>
        <v/>
      </c>
      <c r="L148" s="19"/>
      <c r="M148" s="20"/>
      <c r="N148" s="1"/>
      <c r="O148" s="2"/>
      <c r="P148" s="60"/>
      <c r="Q148" s="60"/>
      <c r="R148" s="60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8" t="str">
        <f t="shared" si="11"/>
        <v>OBRA</v>
      </c>
      <c r="D149" s="58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9" t="str">
        <f>IF(H149="","",MID(VLOOKUP(H149,Codigo_Material!$A$2:$C$9999,2,0),1,30))</f>
        <v/>
      </c>
      <c r="J149" s="59"/>
      <c r="K149" s="50" t="str">
        <f>IF(H149="","",MID(VLOOKUP(H149,Codigo_Material!$A$2:$C$6426,3,0),1,25))</f>
        <v/>
      </c>
      <c r="L149" s="19"/>
      <c r="M149" s="20"/>
      <c r="N149" s="1"/>
      <c r="O149" s="2"/>
      <c r="P149" s="60"/>
      <c r="Q149" s="60"/>
      <c r="R149" s="60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8" t="str">
        <f t="shared" si="11"/>
        <v>OBRA</v>
      </c>
      <c r="D150" s="58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9" t="str">
        <f>IF(H150="","",MID(VLOOKUP(H150,Codigo_Material!$A$2:$C$9999,2,0),1,30))</f>
        <v/>
      </c>
      <c r="J150" s="59"/>
      <c r="K150" s="50" t="str">
        <f>IF(H150="","",MID(VLOOKUP(H150,Codigo_Material!$A$2:$C$6426,3,0),1,25))</f>
        <v/>
      </c>
      <c r="L150" s="19"/>
      <c r="M150" s="20"/>
      <c r="N150" s="1"/>
      <c r="O150" s="2"/>
      <c r="P150" s="60"/>
      <c r="Q150" s="60"/>
      <c r="R150" s="60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8" t="str">
        <f t="shared" si="11"/>
        <v>OBRA</v>
      </c>
      <c r="D151" s="58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9" t="str">
        <f>IF(H151="","",MID(VLOOKUP(H151,Codigo_Material!$A$2:$C$9999,2,0),1,30))</f>
        <v/>
      </c>
      <c r="J151" s="59"/>
      <c r="K151" s="50" t="str">
        <f>IF(H151="","",MID(VLOOKUP(H151,Codigo_Material!$A$2:$C$6426,3,0),1,25))</f>
        <v/>
      </c>
      <c r="L151" s="19"/>
      <c r="M151" s="20"/>
      <c r="N151" s="1"/>
      <c r="O151" s="2"/>
      <c r="P151" s="60"/>
      <c r="Q151" s="60"/>
      <c r="R151" s="60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8" t="str">
        <f t="shared" si="11"/>
        <v>OBRA</v>
      </c>
      <c r="D152" s="58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9" t="str">
        <f>IF(H152="","",MID(VLOOKUP(H152,Codigo_Material!$A$2:$C$9999,2,0),1,30))</f>
        <v/>
      </c>
      <c r="J152" s="59"/>
      <c r="K152" s="50" t="str">
        <f>IF(H152="","",MID(VLOOKUP(H152,Codigo_Material!$A$2:$C$6426,3,0),1,25))</f>
        <v/>
      </c>
      <c r="L152" s="19"/>
      <c r="M152" s="20"/>
      <c r="N152" s="1"/>
      <c r="O152" s="2"/>
      <c r="P152" s="60"/>
      <c r="Q152" s="60"/>
      <c r="R152" s="60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8" t="str">
        <f t="shared" si="11"/>
        <v>OBRA</v>
      </c>
      <c r="D153" s="58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9" t="str">
        <f>IF(H153="","",MID(VLOOKUP(H153,Codigo_Material!$A$2:$C$9999,2,0),1,30))</f>
        <v/>
      </c>
      <c r="J153" s="59"/>
      <c r="K153" s="50" t="str">
        <f>IF(H153="","",MID(VLOOKUP(H153,Codigo_Material!$A$2:$C$6426,3,0),1,25))</f>
        <v/>
      </c>
      <c r="L153" s="19"/>
      <c r="M153" s="20"/>
      <c r="N153" s="1"/>
      <c r="O153" s="2"/>
      <c r="P153" s="60"/>
      <c r="Q153" s="60"/>
      <c r="R153" s="60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8" t="str">
        <f t="shared" si="11"/>
        <v>OBRA</v>
      </c>
      <c r="D154" s="58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9" t="str">
        <f>IF(H154="","",MID(VLOOKUP(H154,Codigo_Material!$A$2:$C$9999,2,0),1,30))</f>
        <v/>
      </c>
      <c r="J154" s="59"/>
      <c r="K154" s="50" t="str">
        <f>IF(H154="","",MID(VLOOKUP(H154,Codigo_Material!$A$2:$C$6426,3,0),1,25))</f>
        <v/>
      </c>
      <c r="L154" s="19"/>
      <c r="M154" s="20"/>
      <c r="N154" s="1"/>
      <c r="O154" s="2"/>
      <c r="P154" s="60"/>
      <c r="Q154" s="60"/>
      <c r="R154" s="60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8" t="str">
        <f t="shared" si="11"/>
        <v>OBRA</v>
      </c>
      <c r="D155" s="58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9" t="str">
        <f>IF(H155="","",MID(VLOOKUP(H155,Codigo_Material!$A$2:$C$9999,2,0),1,30))</f>
        <v/>
      </c>
      <c r="J155" s="59"/>
      <c r="K155" s="50" t="str">
        <f>IF(H155="","",MID(VLOOKUP(H155,Codigo_Material!$A$2:$C$6426,3,0),1,25))</f>
        <v/>
      </c>
      <c r="L155" s="19"/>
      <c r="M155" s="20"/>
      <c r="N155" s="1"/>
      <c r="O155" s="2"/>
      <c r="P155" s="60"/>
      <c r="Q155" s="60"/>
      <c r="R155" s="60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8" t="str">
        <f t="shared" si="11"/>
        <v>OBRA</v>
      </c>
      <c r="D156" s="58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9" t="str">
        <f>IF(H156="","",MID(VLOOKUP(H156,Codigo_Material!$A$2:$C$9999,2,0),1,30))</f>
        <v/>
      </c>
      <c r="J156" s="59"/>
      <c r="K156" s="50" t="str">
        <f>IF(H156="","",MID(VLOOKUP(H156,Codigo_Material!$A$2:$C$6426,3,0),1,25))</f>
        <v/>
      </c>
      <c r="L156" s="19"/>
      <c r="M156" s="20"/>
      <c r="N156" s="1"/>
      <c r="O156" s="2"/>
      <c r="P156" s="60"/>
      <c r="Q156" s="60"/>
      <c r="R156" s="60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8" t="str">
        <f t="shared" si="11"/>
        <v>OBRA</v>
      </c>
      <c r="D157" s="58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9" t="str">
        <f>IF(H157="","",MID(VLOOKUP(H157,Codigo_Material!$A$2:$C$9999,2,0),1,30))</f>
        <v/>
      </c>
      <c r="J157" s="59"/>
      <c r="K157" s="50" t="str">
        <f>IF(H157="","",MID(VLOOKUP(H157,Codigo_Material!$A$2:$C$6426,3,0),1,25))</f>
        <v/>
      </c>
      <c r="L157" s="19"/>
      <c r="M157" s="20"/>
      <c r="N157" s="1"/>
      <c r="O157" s="2"/>
      <c r="P157" s="60"/>
      <c r="Q157" s="60"/>
      <c r="R157" s="60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8" t="str">
        <f t="shared" si="11"/>
        <v>OBRA</v>
      </c>
      <c r="D158" s="58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9" t="str">
        <f>IF(H158="","",MID(VLOOKUP(H158,Codigo_Material!$A$2:$C$9999,2,0),1,30))</f>
        <v/>
      </c>
      <c r="J158" s="59"/>
      <c r="K158" s="50" t="str">
        <f>IF(H158="","",MID(VLOOKUP(H158,Codigo_Material!$A$2:$C$6426,3,0),1,25))</f>
        <v/>
      </c>
      <c r="L158" s="19"/>
      <c r="M158" s="20"/>
      <c r="N158" s="1"/>
      <c r="O158" s="2"/>
      <c r="P158" s="60"/>
      <c r="Q158" s="60"/>
      <c r="R158" s="60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8" t="str">
        <f t="shared" si="11"/>
        <v>OBRA</v>
      </c>
      <c r="D159" s="58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9" t="str">
        <f>IF(H159="","",MID(VLOOKUP(H159,Codigo_Material!$A$2:$C$9999,2,0),1,30))</f>
        <v/>
      </c>
      <c r="J159" s="59"/>
      <c r="K159" s="50" t="str">
        <f>IF(H159="","",MID(VLOOKUP(H159,Codigo_Material!$A$2:$C$6426,3,0),1,25))</f>
        <v/>
      </c>
      <c r="L159" s="19"/>
      <c r="M159" s="20"/>
      <c r="N159" s="1"/>
      <c r="O159" s="2"/>
      <c r="P159" s="60"/>
      <c r="Q159" s="60"/>
      <c r="R159" s="60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8" t="str">
        <f t="shared" si="11"/>
        <v>OBRA</v>
      </c>
      <c r="D160" s="58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9" t="str">
        <f>IF(H160="","",MID(VLOOKUP(H160,Codigo_Material!$A$2:$C$9999,2,0),1,30))</f>
        <v/>
      </c>
      <c r="J160" s="59"/>
      <c r="K160" s="50" t="str">
        <f>IF(H160="","",MID(VLOOKUP(H160,Codigo_Material!$A$2:$C$6426,3,0),1,25))</f>
        <v/>
      </c>
      <c r="L160" s="19"/>
      <c r="M160" s="20"/>
      <c r="N160" s="1"/>
      <c r="O160" s="2"/>
      <c r="P160" s="60"/>
      <c r="Q160" s="60"/>
      <c r="R160" s="60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8" t="str">
        <f t="shared" si="11"/>
        <v>OBRA</v>
      </c>
      <c r="D161" s="58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9" t="str">
        <f>IF(H161="","",MID(VLOOKUP(H161,Codigo_Material!$A$2:$C$9999,2,0),1,30))</f>
        <v/>
      </c>
      <c r="J161" s="59"/>
      <c r="K161" s="50" t="str">
        <f>IF(H161="","",MID(VLOOKUP(H161,Codigo_Material!$A$2:$C$6426,3,0),1,25))</f>
        <v/>
      </c>
      <c r="L161" s="19"/>
      <c r="M161" s="20"/>
      <c r="N161" s="1"/>
      <c r="O161" s="2"/>
      <c r="P161" s="60"/>
      <c r="Q161" s="60"/>
      <c r="R161" s="60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8" t="str">
        <f t="shared" si="11"/>
        <v>OBRA</v>
      </c>
      <c r="D162" s="58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9" t="str">
        <f>IF(H162="","",MID(VLOOKUP(H162,Codigo_Material!$A$2:$C$9999,2,0),1,30))</f>
        <v/>
      </c>
      <c r="J162" s="59"/>
      <c r="K162" s="50" t="str">
        <f>IF(H162="","",MID(VLOOKUP(H162,Codigo_Material!$A$2:$C$6426,3,0),1,25))</f>
        <v/>
      </c>
      <c r="L162" s="19"/>
      <c r="M162" s="20"/>
      <c r="N162" s="1"/>
      <c r="O162" s="2"/>
      <c r="P162" s="60"/>
      <c r="Q162" s="60"/>
      <c r="R162" s="60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8" t="str">
        <f t="shared" si="11"/>
        <v>OBRA</v>
      </c>
      <c r="D163" s="58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9" t="str">
        <f>IF(H163="","",MID(VLOOKUP(H163,Codigo_Material!$A$2:$C$9999,2,0),1,30))</f>
        <v/>
      </c>
      <c r="J163" s="59"/>
      <c r="K163" s="50" t="str">
        <f>IF(H163="","",MID(VLOOKUP(H163,Codigo_Material!$A$2:$C$6426,3,0),1,25))</f>
        <v/>
      </c>
      <c r="L163" s="19"/>
      <c r="M163" s="20"/>
      <c r="N163" s="1"/>
      <c r="O163" s="2"/>
      <c r="P163" s="60"/>
      <c r="Q163" s="60"/>
      <c r="R163" s="60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8" t="str">
        <f t="shared" si="11"/>
        <v>OBRA</v>
      </c>
      <c r="D164" s="58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9" t="str">
        <f>IF(H164="","",MID(VLOOKUP(H164,Codigo_Material!$A$2:$C$9999,2,0),1,30))</f>
        <v/>
      </c>
      <c r="J164" s="59"/>
      <c r="K164" s="50" t="str">
        <f>IF(H164="","",MID(VLOOKUP(H164,Codigo_Material!$A$2:$C$6426,3,0),1,25))</f>
        <v/>
      </c>
      <c r="L164" s="19"/>
      <c r="M164" s="20"/>
      <c r="N164" s="1"/>
      <c r="O164" s="2"/>
      <c r="P164" s="60"/>
      <c r="Q164" s="60"/>
      <c r="R164" s="60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8" t="str">
        <f t="shared" si="11"/>
        <v>OBRA</v>
      </c>
      <c r="D165" s="58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9" t="str">
        <f>IF(H165="","",MID(VLOOKUP(H165,Codigo_Material!$A$2:$C$9999,2,0),1,30))</f>
        <v/>
      </c>
      <c r="J165" s="59"/>
      <c r="K165" s="50" t="str">
        <f>IF(H165="","",MID(VLOOKUP(H165,Codigo_Material!$A$2:$C$6426,3,0),1,25))</f>
        <v/>
      </c>
      <c r="L165" s="19"/>
      <c r="M165" s="20"/>
      <c r="N165" s="1"/>
      <c r="O165" s="2"/>
      <c r="P165" s="60"/>
      <c r="Q165" s="60"/>
      <c r="R165" s="60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8" t="str">
        <f t="shared" si="11"/>
        <v>OBRA</v>
      </c>
      <c r="D166" s="58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9" t="str">
        <f>IF(H166="","",MID(VLOOKUP(H166,Codigo_Material!$A$2:$C$9999,2,0),1,30))</f>
        <v/>
      </c>
      <c r="J166" s="59"/>
      <c r="K166" s="50" t="str">
        <f>IF(H166="","",MID(VLOOKUP(H166,Codigo_Material!$A$2:$C$6426,3,0),1,25))</f>
        <v/>
      </c>
      <c r="L166" s="19"/>
      <c r="M166" s="20"/>
      <c r="N166" s="1"/>
      <c r="O166" s="2"/>
      <c r="P166" s="60"/>
      <c r="Q166" s="60"/>
      <c r="R166" s="60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8" t="str">
        <f t="shared" si="11"/>
        <v>OBRA</v>
      </c>
      <c r="D167" s="58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9" t="str">
        <f>IF(H167="","",MID(VLOOKUP(H167,Codigo_Material!$A$2:$C$9999,2,0),1,30))</f>
        <v/>
      </c>
      <c r="J167" s="59"/>
      <c r="K167" s="50" t="str">
        <f>IF(H167="","",MID(VLOOKUP(H167,Codigo_Material!$A$2:$C$6426,3,0),1,25))</f>
        <v/>
      </c>
      <c r="L167" s="19"/>
      <c r="M167" s="20"/>
      <c r="N167" s="1"/>
      <c r="O167" s="2"/>
      <c r="P167" s="60"/>
      <c r="Q167" s="60"/>
      <c r="R167" s="60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8" t="str">
        <f t="shared" si="11"/>
        <v>OBRA</v>
      </c>
      <c r="D168" s="58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9" t="str">
        <f>IF(H168="","",MID(VLOOKUP(H168,Codigo_Material!$A$2:$C$9999,2,0),1,30))</f>
        <v/>
      </c>
      <c r="J168" s="59"/>
      <c r="K168" s="50" t="str">
        <f>IF(H168="","",MID(VLOOKUP(H168,Codigo_Material!$A$2:$C$6426,3,0),1,25))</f>
        <v/>
      </c>
      <c r="L168" s="19"/>
      <c r="M168" s="20"/>
      <c r="N168" s="1"/>
      <c r="O168" s="2"/>
      <c r="P168" s="60"/>
      <c r="Q168" s="60"/>
      <c r="R168" s="60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8" t="str">
        <f t="shared" si="11"/>
        <v>OBRA</v>
      </c>
      <c r="D169" s="58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9" t="str">
        <f>IF(H169="","",MID(VLOOKUP(H169,Codigo_Material!$A$2:$C$9999,2,0),1,30))</f>
        <v/>
      </c>
      <c r="J169" s="59"/>
      <c r="K169" s="50" t="str">
        <f>IF(H169="","",MID(VLOOKUP(H169,Codigo_Material!$A$2:$C$6426,3,0),1,25))</f>
        <v/>
      </c>
      <c r="L169" s="19"/>
      <c r="M169" s="20"/>
      <c r="N169" s="1"/>
      <c r="O169" s="2"/>
      <c r="P169" s="60"/>
      <c r="Q169" s="60"/>
      <c r="R169" s="60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8" t="str">
        <f t="shared" si="11"/>
        <v>OBRA</v>
      </c>
      <c r="D170" s="58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9" t="str">
        <f>IF(H170="","",MID(VLOOKUP(H170,Codigo_Material!$A$2:$C$9999,2,0),1,30))</f>
        <v/>
      </c>
      <c r="J170" s="59"/>
      <c r="K170" s="50" t="str">
        <f>IF(H170="","",MID(VLOOKUP(H170,Codigo_Material!$A$2:$C$6426,3,0),1,25))</f>
        <v/>
      </c>
      <c r="L170" s="19"/>
      <c r="M170" s="20"/>
      <c r="N170" s="1"/>
      <c r="O170" s="2"/>
      <c r="P170" s="60"/>
      <c r="Q170" s="60"/>
      <c r="R170" s="60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8" t="str">
        <f t="shared" si="11"/>
        <v>OBRA</v>
      </c>
      <c r="D171" s="58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9" t="str">
        <f>IF(H171="","",MID(VLOOKUP(H171,Codigo_Material!$A$2:$C$9999,2,0),1,30))</f>
        <v/>
      </c>
      <c r="J171" s="59"/>
      <c r="K171" s="50" t="str">
        <f>IF(H171="","",MID(VLOOKUP(H171,Codigo_Material!$A$2:$C$6426,3,0),1,25))</f>
        <v/>
      </c>
      <c r="L171" s="19"/>
      <c r="M171" s="20"/>
      <c r="N171" s="1"/>
      <c r="O171" s="2"/>
      <c r="P171" s="60"/>
      <c r="Q171" s="60"/>
      <c r="R171" s="60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8" t="str">
        <f t="shared" si="11"/>
        <v>OBRA</v>
      </c>
      <c r="D172" s="58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9" t="str">
        <f>IF(H172="","",MID(VLOOKUP(H172,Codigo_Material!$A$2:$C$9999,2,0),1,30))</f>
        <v/>
      </c>
      <c r="J172" s="59"/>
      <c r="K172" s="50" t="str">
        <f>IF(H172="","",MID(VLOOKUP(H172,Codigo_Material!$A$2:$C$6426,3,0),1,25))</f>
        <v/>
      </c>
      <c r="L172" s="19"/>
      <c r="M172" s="20"/>
      <c r="N172" s="1"/>
      <c r="O172" s="2"/>
      <c r="P172" s="60"/>
      <c r="Q172" s="60"/>
      <c r="R172" s="60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8" t="str">
        <f t="shared" si="11"/>
        <v>OBRA</v>
      </c>
      <c r="D173" s="58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9" t="str">
        <f>IF(H173="","",MID(VLOOKUP(H173,Codigo_Material!$A$2:$C$9999,2,0),1,30))</f>
        <v/>
      </c>
      <c r="J173" s="59"/>
      <c r="K173" s="50" t="str">
        <f>IF(H173="","",MID(VLOOKUP(H173,Codigo_Material!$A$2:$C$6426,3,0),1,25))</f>
        <v/>
      </c>
      <c r="L173" s="19"/>
      <c r="M173" s="20"/>
      <c r="N173" s="1"/>
      <c r="O173" s="2"/>
      <c r="P173" s="60"/>
      <c r="Q173" s="60"/>
      <c r="R173" s="60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8" t="str">
        <f t="shared" si="11"/>
        <v>OBRA</v>
      </c>
      <c r="D174" s="58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9" t="str">
        <f>IF(H174="","",MID(VLOOKUP(H174,Codigo_Material!$A$2:$C$9999,2,0),1,30))</f>
        <v/>
      </c>
      <c r="J174" s="59"/>
      <c r="K174" s="50" t="str">
        <f>IF(H174="","",MID(VLOOKUP(H174,Codigo_Material!$A$2:$C$6426,3,0),1,25))</f>
        <v/>
      </c>
      <c r="L174" s="19"/>
      <c r="M174" s="20"/>
      <c r="N174" s="1"/>
      <c r="O174" s="2"/>
      <c r="P174" s="60"/>
      <c r="Q174" s="60"/>
      <c r="R174" s="60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8" t="str">
        <f t="shared" si="11"/>
        <v>OBRA</v>
      </c>
      <c r="D175" s="58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9" t="str">
        <f>IF(H175="","",MID(VLOOKUP(H175,Codigo_Material!$A$2:$C$9999,2,0),1,30))</f>
        <v/>
      </c>
      <c r="J175" s="59"/>
      <c r="K175" s="50" t="str">
        <f>IF(H175="","",MID(VLOOKUP(H175,Codigo_Material!$A$2:$C$6426,3,0),1,25))</f>
        <v/>
      </c>
      <c r="L175" s="19"/>
      <c r="M175" s="20"/>
      <c r="N175" s="1"/>
      <c r="O175" s="2"/>
      <c r="P175" s="60"/>
      <c r="Q175" s="60"/>
      <c r="R175" s="60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8" t="str">
        <f t="shared" si="11"/>
        <v>OBRA</v>
      </c>
      <c r="D176" s="58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9" t="str">
        <f>IF(H176="","",MID(VLOOKUP(H176,Codigo_Material!$A$2:$C$9999,2,0),1,30))</f>
        <v/>
      </c>
      <c r="J176" s="59"/>
      <c r="K176" s="50" t="str">
        <f>IF(H176="","",MID(VLOOKUP(H176,Codigo_Material!$A$2:$C$6426,3,0),1,25))</f>
        <v/>
      </c>
      <c r="L176" s="19"/>
      <c r="M176" s="20"/>
      <c r="N176" s="1"/>
      <c r="O176" s="2"/>
      <c r="P176" s="60"/>
      <c r="Q176" s="60"/>
      <c r="R176" s="60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8" t="str">
        <f t="shared" si="11"/>
        <v>OBRA</v>
      </c>
      <c r="D177" s="58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9" t="str">
        <f>IF(H177="","",MID(VLOOKUP(H177,Codigo_Material!$A$2:$C$9999,2,0),1,30))</f>
        <v/>
      </c>
      <c r="J177" s="59"/>
      <c r="K177" s="50" t="str">
        <f>IF(H177="","",MID(VLOOKUP(H177,Codigo_Material!$A$2:$C$6426,3,0),1,25))</f>
        <v/>
      </c>
      <c r="L177" s="19"/>
      <c r="M177" s="20"/>
      <c r="N177" s="1"/>
      <c r="O177" s="2"/>
      <c r="P177" s="60"/>
      <c r="Q177" s="60"/>
      <c r="R177" s="60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8" t="str">
        <f t="shared" si="11"/>
        <v>OBRA</v>
      </c>
      <c r="D178" s="58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9" t="str">
        <f>IF(H178="","",MID(VLOOKUP(H178,Codigo_Material!$A$2:$C$9999,2,0),1,30))</f>
        <v/>
      </c>
      <c r="J178" s="59"/>
      <c r="K178" s="50" t="str">
        <f>IF(H178="","",MID(VLOOKUP(H178,Codigo_Material!$A$2:$C$6426,3,0),1,25))</f>
        <v/>
      </c>
      <c r="L178" s="19"/>
      <c r="M178" s="20"/>
      <c r="N178" s="1"/>
      <c r="O178" s="2"/>
      <c r="P178" s="60"/>
      <c r="Q178" s="60"/>
      <c r="R178" s="60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8" t="str">
        <f t="shared" si="11"/>
        <v>OBRA</v>
      </c>
      <c r="D179" s="58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9" t="str">
        <f>IF(H179="","",MID(VLOOKUP(H179,Codigo_Material!$A$2:$C$9999,2,0),1,30))</f>
        <v/>
      </c>
      <c r="J179" s="59"/>
      <c r="K179" s="50" t="str">
        <f>IF(H179="","",MID(VLOOKUP(H179,Codigo_Material!$A$2:$C$6426,3,0),1,25))</f>
        <v/>
      </c>
      <c r="L179" s="19"/>
      <c r="M179" s="20"/>
      <c r="N179" s="1"/>
      <c r="O179" s="2"/>
      <c r="P179" s="60"/>
      <c r="Q179" s="60"/>
      <c r="R179" s="60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8" t="str">
        <f t="shared" si="11"/>
        <v>OBRA</v>
      </c>
      <c r="D180" s="58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9" t="str">
        <f>IF(H180="","",MID(VLOOKUP(H180,Codigo_Material!$A$2:$C$9999,2,0),1,30))</f>
        <v/>
      </c>
      <c r="J180" s="59"/>
      <c r="K180" s="50" t="str">
        <f>IF(H180="","",MID(VLOOKUP(H180,Codigo_Material!$A$2:$C$6426,3,0),1,25))</f>
        <v/>
      </c>
      <c r="L180" s="19"/>
      <c r="M180" s="20"/>
      <c r="N180" s="1"/>
      <c r="O180" s="2"/>
      <c r="P180" s="60"/>
      <c r="Q180" s="60"/>
      <c r="R180" s="60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8" t="str">
        <f t="shared" si="11"/>
        <v>OBRA</v>
      </c>
      <c r="D181" s="58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9" t="str">
        <f>IF(H181="","",MID(VLOOKUP(H181,Codigo_Material!$A$2:$C$9999,2,0),1,30))</f>
        <v/>
      </c>
      <c r="J181" s="59"/>
      <c r="K181" s="50" t="str">
        <f>IF(H181="","",MID(VLOOKUP(H181,Codigo_Material!$A$2:$C$6426,3,0),1,25))</f>
        <v/>
      </c>
      <c r="L181" s="19"/>
      <c r="M181" s="20"/>
      <c r="N181" s="1"/>
      <c r="O181" s="2"/>
      <c r="P181" s="60"/>
      <c r="Q181" s="60"/>
      <c r="R181" s="60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8" t="str">
        <f t="shared" si="11"/>
        <v>OBRA</v>
      </c>
      <c r="D182" s="58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9" t="str">
        <f>IF(H182="","",MID(VLOOKUP(H182,Codigo_Material!$A$2:$C$9999,2,0),1,30))</f>
        <v/>
      </c>
      <c r="J182" s="59"/>
      <c r="K182" s="50" t="str">
        <f>IF(H182="","",MID(VLOOKUP(H182,Codigo_Material!$A$2:$C$6426,3,0),1,25))</f>
        <v/>
      </c>
      <c r="L182" s="19"/>
      <c r="M182" s="20"/>
      <c r="N182" s="1"/>
      <c r="O182" s="2"/>
      <c r="P182" s="60"/>
      <c r="Q182" s="60"/>
      <c r="R182" s="60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8" t="str">
        <f t="shared" si="11"/>
        <v>OBRA</v>
      </c>
      <c r="D183" s="58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9" t="str">
        <f>IF(H183="","",MID(VLOOKUP(H183,Codigo_Material!$A$2:$C$9999,2,0),1,30))</f>
        <v/>
      </c>
      <c r="J183" s="59"/>
      <c r="K183" s="50" t="str">
        <f>IF(H183="","",MID(VLOOKUP(H183,Codigo_Material!$A$2:$C$6426,3,0),1,25))</f>
        <v/>
      </c>
      <c r="L183" s="19"/>
      <c r="M183" s="20"/>
      <c r="N183" s="1"/>
      <c r="O183" s="2"/>
      <c r="P183" s="60"/>
      <c r="Q183" s="60"/>
      <c r="R183" s="60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8" t="str">
        <f t="shared" si="11"/>
        <v>OBRA</v>
      </c>
      <c r="D184" s="58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9" t="str">
        <f>IF(H184="","",MID(VLOOKUP(H184,Codigo_Material!$A$2:$C$9999,2,0),1,30))</f>
        <v/>
      </c>
      <c r="J184" s="59"/>
      <c r="K184" s="50" t="str">
        <f>IF(H184="","",MID(VLOOKUP(H184,Codigo_Material!$A$2:$C$6426,3,0),1,25))</f>
        <v/>
      </c>
      <c r="L184" s="19"/>
      <c r="M184" s="20"/>
      <c r="N184" s="1"/>
      <c r="O184" s="2"/>
      <c r="P184" s="60"/>
      <c r="Q184" s="60"/>
      <c r="R184" s="60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8" t="str">
        <f t="shared" si="11"/>
        <v>OBRA</v>
      </c>
      <c r="D185" s="58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9" t="str">
        <f>IF(H185="","",MID(VLOOKUP(H185,Codigo_Material!$A$2:$C$9999,2,0),1,30))</f>
        <v/>
      </c>
      <c r="J185" s="59"/>
      <c r="K185" s="50" t="str">
        <f>IF(H185="","",MID(VLOOKUP(H185,Codigo_Material!$A$2:$C$6426,3,0),1,25))</f>
        <v/>
      </c>
      <c r="L185" s="19"/>
      <c r="M185" s="20"/>
      <c r="N185" s="1"/>
      <c r="O185" s="2"/>
      <c r="P185" s="60"/>
      <c r="Q185" s="60"/>
      <c r="R185" s="60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8" t="str">
        <f t="shared" si="11"/>
        <v>OBRA</v>
      </c>
      <c r="D186" s="58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9" t="str">
        <f>IF(H186="","",MID(VLOOKUP(H186,Codigo_Material!$A$2:$C$9999,2,0),1,30))</f>
        <v/>
      </c>
      <c r="J186" s="59"/>
      <c r="K186" s="50" t="str">
        <f>IF(H186="","",MID(VLOOKUP(H186,Codigo_Material!$A$2:$C$6426,3,0),1,25))</f>
        <v/>
      </c>
      <c r="L186" s="19"/>
      <c r="M186" s="20"/>
      <c r="N186" s="1"/>
      <c r="O186" s="2"/>
      <c r="P186" s="60"/>
      <c r="Q186" s="60"/>
      <c r="R186" s="60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8" t="str">
        <f t="shared" si="11"/>
        <v>OBRA</v>
      </c>
      <c r="D187" s="58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9" t="str">
        <f>IF(H187="","",MID(VLOOKUP(H187,Codigo_Material!$A$2:$C$9999,2,0),1,30))</f>
        <v/>
      </c>
      <c r="J187" s="59"/>
      <c r="K187" s="50" t="str">
        <f>IF(H187="","",MID(VLOOKUP(H187,Codigo_Material!$A$2:$C$6426,3,0),1,25))</f>
        <v/>
      </c>
      <c r="L187" s="19"/>
      <c r="M187" s="20"/>
      <c r="N187" s="1"/>
      <c r="O187" s="2"/>
      <c r="P187" s="60"/>
      <c r="Q187" s="60"/>
      <c r="R187" s="60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8" t="str">
        <f t="shared" si="11"/>
        <v>OBRA</v>
      </c>
      <c r="D188" s="58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9" t="str">
        <f>IF(H188="","",MID(VLOOKUP(H188,Codigo_Material!$A$2:$C$9999,2,0),1,30))</f>
        <v/>
      </c>
      <c r="J188" s="59"/>
      <c r="K188" s="50" t="str">
        <f>IF(H188="","",MID(VLOOKUP(H188,Codigo_Material!$A$2:$C$6426,3,0),1,25))</f>
        <v/>
      </c>
      <c r="L188" s="19"/>
      <c r="M188" s="20"/>
      <c r="N188" s="1"/>
      <c r="O188" s="2"/>
      <c r="P188" s="60"/>
      <c r="Q188" s="60"/>
      <c r="R188" s="60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8" t="str">
        <f t="shared" si="11"/>
        <v>OBRA</v>
      </c>
      <c r="D189" s="58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9" t="str">
        <f>IF(H189="","",MID(VLOOKUP(H189,Codigo_Material!$A$2:$C$9999,2,0),1,30))</f>
        <v/>
      </c>
      <c r="J189" s="59"/>
      <c r="K189" s="50" t="str">
        <f>IF(H189="","",MID(VLOOKUP(H189,Codigo_Material!$A$2:$C$6426,3,0),1,25))</f>
        <v/>
      </c>
      <c r="L189" s="19"/>
      <c r="M189" s="20"/>
      <c r="N189" s="1"/>
      <c r="O189" s="2"/>
      <c r="P189" s="60"/>
      <c r="Q189" s="60"/>
      <c r="R189" s="60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8" t="str">
        <f t="shared" si="11"/>
        <v>OBRA</v>
      </c>
      <c r="D190" s="58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9" t="str">
        <f>IF(H190="","",MID(VLOOKUP(H190,Codigo_Material!$A$2:$C$9999,2,0),1,30))</f>
        <v/>
      </c>
      <c r="J190" s="59"/>
      <c r="K190" s="50" t="str">
        <f>IF(H190="","",MID(VLOOKUP(H190,Codigo_Material!$A$2:$C$6426,3,0),1,25))</f>
        <v/>
      </c>
      <c r="L190" s="19"/>
      <c r="M190" s="20"/>
      <c r="N190" s="1"/>
      <c r="O190" s="2"/>
      <c r="P190" s="60"/>
      <c r="Q190" s="60"/>
      <c r="R190" s="60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8" t="str">
        <f t="shared" si="11"/>
        <v>OBRA</v>
      </c>
      <c r="D191" s="58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9" t="str">
        <f>IF(H191="","",MID(VLOOKUP(H191,Codigo_Material!$A$2:$C$9999,2,0),1,30))</f>
        <v/>
      </c>
      <c r="J191" s="59"/>
      <c r="K191" s="50" t="str">
        <f>IF(H191="","",MID(VLOOKUP(H191,Codigo_Material!$A$2:$C$6426,3,0),1,25))</f>
        <v/>
      </c>
      <c r="L191" s="19"/>
      <c r="M191" s="20"/>
      <c r="N191" s="1"/>
      <c r="O191" s="2"/>
      <c r="P191" s="60"/>
      <c r="Q191" s="60"/>
      <c r="R191" s="60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8" t="str">
        <f t="shared" si="11"/>
        <v>OBRA</v>
      </c>
      <c r="D192" s="58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9" t="str">
        <f>IF(H192="","",MID(VLOOKUP(H192,Codigo_Material!$A$2:$C$9999,2,0),1,30))</f>
        <v/>
      </c>
      <c r="J192" s="59"/>
      <c r="K192" s="50" t="str">
        <f>IF(H192="","",MID(VLOOKUP(H192,Codigo_Material!$A$2:$C$6426,3,0),1,25))</f>
        <v/>
      </c>
      <c r="L192" s="19"/>
      <c r="M192" s="20"/>
      <c r="N192" s="1"/>
      <c r="O192" s="2"/>
      <c r="P192" s="60"/>
      <c r="Q192" s="60"/>
      <c r="R192" s="60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8" t="str">
        <f t="shared" si="11"/>
        <v>OBRA</v>
      </c>
      <c r="D193" s="58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9" t="str">
        <f>IF(H193="","",MID(VLOOKUP(H193,Codigo_Material!$A$2:$C$9999,2,0),1,30))</f>
        <v/>
      </c>
      <c r="J193" s="59"/>
      <c r="K193" s="50" t="str">
        <f>IF(H193="","",MID(VLOOKUP(H193,Codigo_Material!$A$2:$C$6426,3,0),1,25))</f>
        <v/>
      </c>
      <c r="L193" s="19"/>
      <c r="M193" s="20"/>
      <c r="N193" s="1"/>
      <c r="O193" s="2"/>
      <c r="P193" s="60"/>
      <c r="Q193" s="60"/>
      <c r="R193" s="60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8" t="str">
        <f t="shared" si="11"/>
        <v>OBRA</v>
      </c>
      <c r="D194" s="58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9" t="str">
        <f>IF(H194="","",MID(VLOOKUP(H194,Codigo_Material!$A$2:$C$9999,2,0),1,30))</f>
        <v/>
      </c>
      <c r="J194" s="59"/>
      <c r="K194" s="50" t="str">
        <f>IF(H194="","",MID(VLOOKUP(H194,Codigo_Material!$A$2:$C$6426,3,0),1,25))</f>
        <v/>
      </c>
      <c r="L194" s="19"/>
      <c r="M194" s="20"/>
      <c r="N194" s="1"/>
      <c r="O194" s="2"/>
      <c r="P194" s="60"/>
      <c r="Q194" s="60"/>
      <c r="R194" s="60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8" t="str">
        <f t="shared" si="11"/>
        <v>OBRA</v>
      </c>
      <c r="D195" s="58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9" t="str">
        <f>IF(H195="","",MID(VLOOKUP(H195,Codigo_Material!$A$2:$C$9999,2,0),1,30))</f>
        <v/>
      </c>
      <c r="J195" s="59"/>
      <c r="K195" s="50" t="str">
        <f>IF(H195="","",MID(VLOOKUP(H195,Codigo_Material!$A$2:$C$6426,3,0),1,25))</f>
        <v/>
      </c>
      <c r="L195" s="19"/>
      <c r="M195" s="20"/>
      <c r="N195" s="1"/>
      <c r="O195" s="2"/>
      <c r="P195" s="60"/>
      <c r="Q195" s="60"/>
      <c r="R195" s="60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8" t="str">
        <f t="shared" si="11"/>
        <v>OBRA</v>
      </c>
      <c r="D196" s="58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9" t="str">
        <f>IF(H196="","",MID(VLOOKUP(H196,Codigo_Material!$A$2:$C$9999,2,0),1,30))</f>
        <v/>
      </c>
      <c r="J196" s="59"/>
      <c r="K196" s="50" t="str">
        <f>IF(H196="","",MID(VLOOKUP(H196,Codigo_Material!$A$2:$C$6426,3,0),1,25))</f>
        <v/>
      </c>
      <c r="L196" s="19"/>
      <c r="M196" s="20"/>
      <c r="N196" s="1"/>
      <c r="O196" s="2"/>
      <c r="P196" s="60"/>
      <c r="Q196" s="60"/>
      <c r="R196" s="60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8" t="str">
        <f t="shared" si="11"/>
        <v>OBRA</v>
      </c>
      <c r="D197" s="58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9" t="str">
        <f>IF(H197="","",MID(VLOOKUP(H197,Codigo_Material!$A$2:$C$9999,2,0),1,30))</f>
        <v/>
      </c>
      <c r="J197" s="59"/>
      <c r="K197" s="50" t="str">
        <f>IF(H197="","",MID(VLOOKUP(H197,Codigo_Material!$A$2:$C$6426,3,0),1,25))</f>
        <v/>
      </c>
      <c r="L197" s="19"/>
      <c r="M197" s="20"/>
      <c r="N197" s="1"/>
      <c r="O197" s="2"/>
      <c r="P197" s="60"/>
      <c r="Q197" s="60"/>
      <c r="R197" s="60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8" t="str">
        <f t="shared" si="11"/>
        <v>OBRA</v>
      </c>
      <c r="D198" s="58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9" t="str">
        <f>IF(H198="","",MID(VLOOKUP(H198,Codigo_Material!$A$2:$C$9999,2,0),1,30))</f>
        <v/>
      </c>
      <c r="J198" s="59"/>
      <c r="K198" s="50" t="str">
        <f>IF(H198="","",MID(VLOOKUP(H198,Codigo_Material!$A$2:$C$6426,3,0),1,25))</f>
        <v/>
      </c>
      <c r="L198" s="19"/>
      <c r="M198" s="20"/>
      <c r="N198" s="1"/>
      <c r="O198" s="2"/>
      <c r="P198" s="60"/>
      <c r="Q198" s="60"/>
      <c r="R198" s="60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8" t="str">
        <f t="shared" si="11"/>
        <v>OBRA</v>
      </c>
      <c r="D199" s="58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9" t="str">
        <f>IF(H199="","",MID(VLOOKUP(H199,Codigo_Material!$A$2:$C$9999,2,0),1,30))</f>
        <v/>
      </c>
      <c r="J199" s="59"/>
      <c r="K199" s="50" t="str">
        <f>IF(H199="","",MID(VLOOKUP(H199,Codigo_Material!$A$2:$C$6426,3,0),1,25))</f>
        <v/>
      </c>
      <c r="L199" s="19"/>
      <c r="M199" s="20"/>
      <c r="N199" s="1"/>
      <c r="O199" s="2"/>
      <c r="P199" s="60"/>
      <c r="Q199" s="60"/>
      <c r="R199" s="60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8" t="str">
        <f t="shared" si="11"/>
        <v>OBRA</v>
      </c>
      <c r="D200" s="58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9" t="str">
        <f>IF(H200="","",MID(VLOOKUP(H200,Codigo_Material!$A$2:$C$9999,2,0),1,30))</f>
        <v/>
      </c>
      <c r="J200" s="59"/>
      <c r="K200" s="50" t="str">
        <f>IF(H200="","",MID(VLOOKUP(H200,Codigo_Material!$A$2:$C$6426,3,0),1,25))</f>
        <v/>
      </c>
      <c r="L200" s="19"/>
      <c r="M200" s="20"/>
      <c r="N200" s="1"/>
      <c r="O200" s="2"/>
      <c r="P200" s="60"/>
      <c r="Q200" s="60"/>
      <c r="R200" s="60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8" t="str">
        <f>IF($F$5="","",$F$5)</f>
        <v>OBRA</v>
      </c>
      <c r="D201" s="58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9" t="str">
        <f>IF(H201="","",MID(VLOOKUP(H201,Codigo_Material!$A$2:$C$9999,2,0),1,30))</f>
        <v/>
      </c>
      <c r="J201" s="59"/>
      <c r="K201" s="53" t="str">
        <f>IF(H201="","",MID(VLOOKUP(H201,Codigo_Material!$A$2:$C$6426,3,0),1,25))</f>
        <v/>
      </c>
      <c r="L201" s="19"/>
      <c r="M201" s="20"/>
      <c r="N201" s="1"/>
      <c r="O201" s="2"/>
      <c r="P201" s="60"/>
      <c r="Q201" s="60"/>
      <c r="R201" s="60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8" t="str">
        <f t="shared" ref="C202:C265" si="16">IF($F$5="","",$F$5)</f>
        <v>OBRA</v>
      </c>
      <c r="D202" s="58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9" t="str">
        <f>IF(H202="","",MID(VLOOKUP(H202,Codigo_Material!$A$2:$C$9999,2,0),1,30))</f>
        <v/>
      </c>
      <c r="J202" s="59"/>
      <c r="K202" s="53" t="str">
        <f>IF(H202="","",MID(VLOOKUP(H202,Codigo_Material!$A$2:$C$6426,3,0),1,25))</f>
        <v/>
      </c>
      <c r="L202" s="19"/>
      <c r="M202" s="20"/>
      <c r="N202" s="1"/>
      <c r="O202" s="2"/>
      <c r="P202" s="60"/>
      <c r="Q202" s="60"/>
      <c r="R202" s="60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61" t="str">
        <f t="shared" si="16"/>
        <v>OBRA</v>
      </c>
      <c r="D203" s="62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9" t="str">
        <f>IF(H203="","",MID(VLOOKUP(H203,Codigo_Material!$A$2:$C$9999,2,0),1,30))</f>
        <v/>
      </c>
      <c r="J203" s="59"/>
      <c r="K203" s="53" t="str">
        <f>IF(H203="","",MID(VLOOKUP(H203,Codigo_Material!$A$2:$C$6426,3,0),1,25))</f>
        <v/>
      </c>
      <c r="L203" s="19"/>
      <c r="M203" s="20"/>
      <c r="N203" s="1"/>
      <c r="O203" s="2"/>
      <c r="P203" s="63"/>
      <c r="Q203" s="64"/>
      <c r="R203" s="65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8" t="str">
        <f t="shared" si="16"/>
        <v>OBRA</v>
      </c>
      <c r="D204" s="58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9" t="str">
        <f>IF(H204="","",MID(VLOOKUP(H204,Codigo_Material!$A$2:$C$9999,2,0),1,30))</f>
        <v/>
      </c>
      <c r="J204" s="59"/>
      <c r="K204" s="53" t="str">
        <f>IF(H204="","",MID(VLOOKUP(H204,Codigo_Material!$A$2:$C$6426,3,0),1,25))</f>
        <v/>
      </c>
      <c r="L204" s="19"/>
      <c r="M204" s="20"/>
      <c r="N204" s="1"/>
      <c r="O204" s="2"/>
      <c r="P204" s="60"/>
      <c r="Q204" s="60"/>
      <c r="R204" s="60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8" t="str">
        <f t="shared" si="16"/>
        <v>OBRA</v>
      </c>
      <c r="D205" s="58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9" t="str">
        <f>IF(H205="","",MID(VLOOKUP(H205,Codigo_Material!$A$2:$C$9999,2,0),1,30))</f>
        <v/>
      </c>
      <c r="J205" s="59"/>
      <c r="K205" s="53" t="str">
        <f>IF(H205="","",MID(VLOOKUP(H205,Codigo_Material!$A$2:$C$6426,3,0),1,25))</f>
        <v/>
      </c>
      <c r="L205" s="19"/>
      <c r="M205" s="20"/>
      <c r="N205" s="1"/>
      <c r="O205" s="2"/>
      <c r="P205" s="60"/>
      <c r="Q205" s="60"/>
      <c r="R205" s="60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8" t="str">
        <f t="shared" si="16"/>
        <v>OBRA</v>
      </c>
      <c r="D206" s="58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9" t="str">
        <f>IF(H206="","",MID(VLOOKUP(H206,Codigo_Material!$A$2:$C$9999,2,0),1,30))</f>
        <v/>
      </c>
      <c r="J206" s="59"/>
      <c r="K206" s="53" t="str">
        <f>IF(H206="","",MID(VLOOKUP(H206,Codigo_Material!$A$2:$C$6426,3,0),1,25))</f>
        <v/>
      </c>
      <c r="L206" s="19"/>
      <c r="M206" s="20"/>
      <c r="N206" s="1"/>
      <c r="O206" s="2"/>
      <c r="P206" s="60"/>
      <c r="Q206" s="60"/>
      <c r="R206" s="60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8" t="str">
        <f t="shared" si="16"/>
        <v>OBRA</v>
      </c>
      <c r="D207" s="58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9" t="str">
        <f>IF(H207="","",MID(VLOOKUP(H207,Codigo_Material!$A$2:$C$9999,2,0),1,30))</f>
        <v/>
      </c>
      <c r="J207" s="59"/>
      <c r="K207" s="53" t="str">
        <f>IF(H207="","",MID(VLOOKUP(H207,Codigo_Material!$A$2:$C$6426,3,0),1,25))</f>
        <v/>
      </c>
      <c r="L207" s="19"/>
      <c r="M207" s="20"/>
      <c r="N207" s="1"/>
      <c r="O207" s="2"/>
      <c r="P207" s="60"/>
      <c r="Q207" s="60"/>
      <c r="R207" s="60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8" t="str">
        <f t="shared" si="16"/>
        <v>OBRA</v>
      </c>
      <c r="D208" s="58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9" t="str">
        <f>IF(H208="","",MID(VLOOKUP(H208,Codigo_Material!$A$2:$C$9999,2,0),1,30))</f>
        <v/>
      </c>
      <c r="J208" s="59"/>
      <c r="K208" s="53" t="str">
        <f>IF(H208="","",MID(VLOOKUP(H208,Codigo_Material!$A$2:$C$6426,3,0),1,25))</f>
        <v/>
      </c>
      <c r="L208" s="19"/>
      <c r="M208" s="20"/>
      <c r="N208" s="1"/>
      <c r="O208" s="2"/>
      <c r="P208" s="60"/>
      <c r="Q208" s="60"/>
      <c r="R208" s="60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8" t="str">
        <f t="shared" si="16"/>
        <v>OBRA</v>
      </c>
      <c r="D209" s="58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9" t="str">
        <f>IF(H209="","",MID(VLOOKUP(H209,Codigo_Material!$A$2:$C$9999,2,0),1,30))</f>
        <v/>
      </c>
      <c r="J209" s="59"/>
      <c r="K209" s="53" t="str">
        <f>IF(H209="","",MID(VLOOKUP(H209,Codigo_Material!$A$2:$C$6426,3,0),1,25))</f>
        <v/>
      </c>
      <c r="L209" s="19"/>
      <c r="M209" s="20"/>
      <c r="N209" s="1"/>
      <c r="O209" s="2"/>
      <c r="P209" s="60"/>
      <c r="Q209" s="60"/>
      <c r="R209" s="60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8" t="str">
        <f t="shared" si="16"/>
        <v>OBRA</v>
      </c>
      <c r="D210" s="58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9" t="str">
        <f>IF(H210="","",MID(VLOOKUP(H210,Codigo_Material!$A$2:$C$9999,2,0),1,30))</f>
        <v/>
      </c>
      <c r="J210" s="59"/>
      <c r="K210" s="53" t="str">
        <f>IF(H210="","",MID(VLOOKUP(H210,Codigo_Material!$A$2:$C$6426,3,0),1,25))</f>
        <v/>
      </c>
      <c r="L210" s="19"/>
      <c r="M210" s="20"/>
      <c r="N210" s="1"/>
      <c r="O210" s="2"/>
      <c r="P210" s="60"/>
      <c r="Q210" s="60"/>
      <c r="R210" s="60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8" t="str">
        <f t="shared" si="16"/>
        <v>OBRA</v>
      </c>
      <c r="D211" s="58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9" t="str">
        <f>IF(H211="","",MID(VLOOKUP(H211,Codigo_Material!$A$2:$C$9999,2,0),1,30))</f>
        <v/>
      </c>
      <c r="J211" s="59"/>
      <c r="K211" s="53" t="str">
        <f>IF(H211="","",MID(VLOOKUP(H211,Codigo_Material!$A$2:$C$6426,3,0),1,25))</f>
        <v/>
      </c>
      <c r="L211" s="19"/>
      <c r="M211" s="20"/>
      <c r="N211" s="1"/>
      <c r="O211" s="2"/>
      <c r="P211" s="60"/>
      <c r="Q211" s="60"/>
      <c r="R211" s="60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8" t="str">
        <f t="shared" si="16"/>
        <v>OBRA</v>
      </c>
      <c r="D212" s="58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9" t="str">
        <f>IF(H212="","",MID(VLOOKUP(H212,Codigo_Material!$A$2:$C$9999,2,0),1,30))</f>
        <v/>
      </c>
      <c r="J212" s="59"/>
      <c r="K212" s="53" t="str">
        <f>IF(H212="","",MID(VLOOKUP(H212,Codigo_Material!$A$2:$C$6426,3,0),1,25))</f>
        <v/>
      </c>
      <c r="L212" s="19"/>
      <c r="M212" s="20"/>
      <c r="N212" s="1"/>
      <c r="O212" s="2"/>
      <c r="P212" s="60"/>
      <c r="Q212" s="60"/>
      <c r="R212" s="60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8" t="str">
        <f t="shared" si="16"/>
        <v>OBRA</v>
      </c>
      <c r="D213" s="58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9" t="str">
        <f>IF(H213="","",MID(VLOOKUP(H213,Codigo_Material!$A$2:$C$9999,2,0),1,30))</f>
        <v/>
      </c>
      <c r="J213" s="59"/>
      <c r="K213" s="53" t="str">
        <f>IF(H213="","",MID(VLOOKUP(H213,Codigo_Material!$A$2:$C$6426,3,0),1,25))</f>
        <v/>
      </c>
      <c r="L213" s="19"/>
      <c r="M213" s="20"/>
      <c r="N213" s="1"/>
      <c r="O213" s="2"/>
      <c r="P213" s="60"/>
      <c r="Q213" s="60"/>
      <c r="R213" s="60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8" t="str">
        <f t="shared" si="16"/>
        <v>OBRA</v>
      </c>
      <c r="D214" s="58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9" t="str">
        <f>IF(H214="","",MID(VLOOKUP(H214,Codigo_Material!$A$2:$C$9999,2,0),1,30))</f>
        <v/>
      </c>
      <c r="J214" s="59"/>
      <c r="K214" s="53" t="str">
        <f>IF(H214="","",MID(VLOOKUP(H214,Codigo_Material!$A$2:$C$6426,3,0),1,25))</f>
        <v/>
      </c>
      <c r="L214" s="19"/>
      <c r="M214" s="20"/>
      <c r="N214" s="1"/>
      <c r="O214" s="2"/>
      <c r="P214" s="60"/>
      <c r="Q214" s="60"/>
      <c r="R214" s="60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8" t="str">
        <f t="shared" si="16"/>
        <v>OBRA</v>
      </c>
      <c r="D215" s="58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9" t="str">
        <f>IF(H215="","",MID(VLOOKUP(H215,Codigo_Material!$A$2:$C$9999,2,0),1,30))</f>
        <v/>
      </c>
      <c r="J215" s="59"/>
      <c r="K215" s="53" t="str">
        <f>IF(H215="","",MID(VLOOKUP(H215,Codigo_Material!$A$2:$C$6426,3,0),1,25))</f>
        <v/>
      </c>
      <c r="L215" s="19"/>
      <c r="M215" s="20"/>
      <c r="N215" s="1"/>
      <c r="O215" s="2"/>
      <c r="P215" s="60"/>
      <c r="Q215" s="60"/>
      <c r="R215" s="60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8" t="str">
        <f t="shared" si="16"/>
        <v>OBRA</v>
      </c>
      <c r="D216" s="58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9" t="str">
        <f>IF(H216="","",MID(VLOOKUP(H216,Codigo_Material!$A$2:$C$9999,2,0),1,30))</f>
        <v/>
      </c>
      <c r="J216" s="59"/>
      <c r="K216" s="53" t="str">
        <f>IF(H216="","",MID(VLOOKUP(H216,Codigo_Material!$A$2:$C$6426,3,0),1,25))</f>
        <v/>
      </c>
      <c r="L216" s="19"/>
      <c r="M216" s="20"/>
      <c r="N216" s="1"/>
      <c r="O216" s="2"/>
      <c r="P216" s="60"/>
      <c r="Q216" s="60"/>
      <c r="R216" s="60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8" t="str">
        <f>IF($F$5="","",$F$5)</f>
        <v>OBRA</v>
      </c>
      <c r="D217" s="58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9" t="str">
        <f>IF(H217="","",MID(VLOOKUP(H217,Codigo_Material!$A$2:$C$9999,2,0),1,30))</f>
        <v/>
      </c>
      <c r="J217" s="59"/>
      <c r="K217" s="53" t="str">
        <f>IF(H217="","",MID(VLOOKUP(H217,Codigo_Material!$A$2:$C$6426,3,0),1,25))</f>
        <v/>
      </c>
      <c r="L217" s="19"/>
      <c r="M217" s="20"/>
      <c r="N217" s="1"/>
      <c r="O217" s="2"/>
      <c r="P217" s="60"/>
      <c r="Q217" s="60"/>
      <c r="R217" s="60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8" t="str">
        <f t="shared" si="16"/>
        <v>OBRA</v>
      </c>
      <c r="D218" s="58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9" t="str">
        <f>IF(H218="","",MID(VLOOKUP(H218,Codigo_Material!$A$2:$C$9999,2,0),1,30))</f>
        <v/>
      </c>
      <c r="J218" s="59"/>
      <c r="K218" s="53" t="str">
        <f>IF(H218="","",MID(VLOOKUP(H218,Codigo_Material!$A$2:$C$6426,3,0),1,25))</f>
        <v/>
      </c>
      <c r="L218" s="19"/>
      <c r="M218" s="20"/>
      <c r="N218" s="1"/>
      <c r="O218" s="2"/>
      <c r="P218" s="60"/>
      <c r="Q218" s="60"/>
      <c r="R218" s="60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8" t="str">
        <f t="shared" si="16"/>
        <v>OBRA</v>
      </c>
      <c r="D219" s="58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9" t="str">
        <f>IF(H219="","",MID(VLOOKUP(H219,Codigo_Material!$A$2:$C$9999,2,0),1,30))</f>
        <v/>
      </c>
      <c r="J219" s="59"/>
      <c r="K219" s="53" t="str">
        <f>IF(H219="","",MID(VLOOKUP(H219,Codigo_Material!$A$2:$C$6426,3,0),1,25))</f>
        <v/>
      </c>
      <c r="L219" s="19"/>
      <c r="M219" s="20"/>
      <c r="N219" s="1"/>
      <c r="O219" s="2"/>
      <c r="P219" s="60"/>
      <c r="Q219" s="60"/>
      <c r="R219" s="60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8" t="str">
        <f t="shared" si="16"/>
        <v>OBRA</v>
      </c>
      <c r="D220" s="58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9" t="str">
        <f>IF(H220="","",MID(VLOOKUP(H220,Codigo_Material!$A$2:$C$9999,2,0),1,30))</f>
        <v/>
      </c>
      <c r="J220" s="59"/>
      <c r="K220" s="53" t="str">
        <f>IF(H220="","",MID(VLOOKUP(H220,Codigo_Material!$A$2:$C$6426,3,0),1,25))</f>
        <v/>
      </c>
      <c r="L220" s="19"/>
      <c r="M220" s="20"/>
      <c r="N220" s="1"/>
      <c r="O220" s="2"/>
      <c r="P220" s="60"/>
      <c r="Q220" s="60"/>
      <c r="R220" s="60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8" t="str">
        <f t="shared" si="16"/>
        <v>OBRA</v>
      </c>
      <c r="D221" s="58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9" t="str">
        <f>IF(H221="","",MID(VLOOKUP(H221,Codigo_Material!$A$2:$C$9999,2,0),1,30))</f>
        <v/>
      </c>
      <c r="J221" s="59"/>
      <c r="K221" s="53" t="str">
        <f>IF(H221="","",MID(VLOOKUP(H221,Codigo_Material!$A$2:$C$6426,3,0),1,25))</f>
        <v/>
      </c>
      <c r="L221" s="19"/>
      <c r="M221" s="20"/>
      <c r="N221" s="1"/>
      <c r="O221" s="2"/>
      <c r="P221" s="60"/>
      <c r="Q221" s="60"/>
      <c r="R221" s="60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8" t="str">
        <f t="shared" si="16"/>
        <v>OBRA</v>
      </c>
      <c r="D222" s="58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9" t="str">
        <f>IF(H222="","",MID(VLOOKUP(H222,Codigo_Material!$A$2:$C$9999,2,0),1,30))</f>
        <v/>
      </c>
      <c r="J222" s="59"/>
      <c r="K222" s="53" t="str">
        <f>IF(H222="","",MID(VLOOKUP(H222,Codigo_Material!$A$2:$C$6426,3,0),1,25))</f>
        <v/>
      </c>
      <c r="L222" s="19"/>
      <c r="M222" s="20"/>
      <c r="N222" s="1"/>
      <c r="O222" s="2"/>
      <c r="P222" s="60"/>
      <c r="Q222" s="60"/>
      <c r="R222" s="60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8" t="str">
        <f t="shared" si="16"/>
        <v>OBRA</v>
      </c>
      <c r="D223" s="58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9" t="str">
        <f>IF(H223="","",MID(VLOOKUP(H223,Codigo_Material!$A$2:$C$9999,2,0),1,30))</f>
        <v/>
      </c>
      <c r="J223" s="59"/>
      <c r="K223" s="53" t="str">
        <f>IF(H223="","",MID(VLOOKUP(H223,Codigo_Material!$A$2:$C$6426,3,0),1,25))</f>
        <v/>
      </c>
      <c r="L223" s="19"/>
      <c r="M223" s="20"/>
      <c r="N223" s="1"/>
      <c r="O223" s="2"/>
      <c r="P223" s="60"/>
      <c r="Q223" s="60"/>
      <c r="R223" s="60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8" t="str">
        <f t="shared" si="16"/>
        <v>OBRA</v>
      </c>
      <c r="D224" s="58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9" t="str">
        <f>IF(H224="","",MID(VLOOKUP(H224,Codigo_Material!$A$2:$C$9999,2,0),1,30))</f>
        <v/>
      </c>
      <c r="J224" s="59"/>
      <c r="K224" s="53" t="str">
        <f>IF(H224="","",MID(VLOOKUP(H224,Codigo_Material!$A$2:$C$6426,3,0),1,25))</f>
        <v/>
      </c>
      <c r="L224" s="19"/>
      <c r="M224" s="20"/>
      <c r="N224" s="1"/>
      <c r="O224" s="2"/>
      <c r="P224" s="60"/>
      <c r="Q224" s="60"/>
      <c r="R224" s="60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8" t="str">
        <f t="shared" si="16"/>
        <v>OBRA</v>
      </c>
      <c r="D225" s="58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9" t="str">
        <f>IF(H225="","",MID(VLOOKUP(H225,Codigo_Material!$A$2:$C$9999,2,0),1,30))</f>
        <v/>
      </c>
      <c r="J225" s="59"/>
      <c r="K225" s="53" t="str">
        <f>IF(H225="","",MID(VLOOKUP(H225,Codigo_Material!$A$2:$C$6426,3,0),1,25))</f>
        <v/>
      </c>
      <c r="L225" s="19"/>
      <c r="M225" s="20"/>
      <c r="N225" s="1"/>
      <c r="O225" s="2"/>
      <c r="P225" s="60"/>
      <c r="Q225" s="60"/>
      <c r="R225" s="60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8" t="str">
        <f t="shared" si="16"/>
        <v>OBRA</v>
      </c>
      <c r="D226" s="58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9" t="str">
        <f>IF(H226="","",MID(VLOOKUP(H226,Codigo_Material!$A$2:$C$9999,2,0),1,30))</f>
        <v/>
      </c>
      <c r="J226" s="59"/>
      <c r="K226" s="53" t="str">
        <f>IF(H226="","",MID(VLOOKUP(H226,Codigo_Material!$A$2:$C$6426,3,0),1,25))</f>
        <v/>
      </c>
      <c r="L226" s="19"/>
      <c r="M226" s="20"/>
      <c r="N226" s="1"/>
      <c r="O226" s="2"/>
      <c r="P226" s="60"/>
      <c r="Q226" s="60"/>
      <c r="R226" s="60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8" t="str">
        <f t="shared" si="16"/>
        <v>OBRA</v>
      </c>
      <c r="D227" s="58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9" t="str">
        <f>IF(H227="","",MID(VLOOKUP(H227,Codigo_Material!$A$2:$C$9999,2,0),1,30))</f>
        <v/>
      </c>
      <c r="J227" s="59"/>
      <c r="K227" s="53" t="str">
        <f>IF(H227="","",MID(VLOOKUP(H227,Codigo_Material!$A$2:$C$6426,3,0),1,25))</f>
        <v/>
      </c>
      <c r="L227" s="19"/>
      <c r="M227" s="20"/>
      <c r="N227" s="1"/>
      <c r="O227" s="2"/>
      <c r="P227" s="60"/>
      <c r="Q227" s="60"/>
      <c r="R227" s="60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8" t="str">
        <f t="shared" si="16"/>
        <v>OBRA</v>
      </c>
      <c r="D228" s="58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9" t="str">
        <f>IF(H228="","",MID(VLOOKUP(H228,Codigo_Material!$A$2:$C$9999,2,0),1,30))</f>
        <v/>
      </c>
      <c r="J228" s="59"/>
      <c r="K228" s="53" t="str">
        <f>IF(H228="","",MID(VLOOKUP(H228,Codigo_Material!$A$2:$C$6426,3,0),1,25))</f>
        <v/>
      </c>
      <c r="L228" s="19"/>
      <c r="M228" s="20"/>
      <c r="N228" s="1"/>
      <c r="O228" s="2"/>
      <c r="P228" s="60"/>
      <c r="Q228" s="60"/>
      <c r="R228" s="60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8" t="str">
        <f t="shared" si="16"/>
        <v>OBRA</v>
      </c>
      <c r="D229" s="58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9" t="str">
        <f>IF(H229="","",MID(VLOOKUP(H229,Codigo_Material!$A$2:$C$9999,2,0),1,30))</f>
        <v/>
      </c>
      <c r="J229" s="59"/>
      <c r="K229" s="53" t="str">
        <f>IF(H229="","",MID(VLOOKUP(H229,Codigo_Material!$A$2:$C$6426,3,0),1,25))</f>
        <v/>
      </c>
      <c r="L229" s="19"/>
      <c r="M229" s="20"/>
      <c r="N229" s="1"/>
      <c r="O229" s="2"/>
      <c r="P229" s="60"/>
      <c r="Q229" s="60"/>
      <c r="R229" s="60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8" t="str">
        <f t="shared" si="16"/>
        <v>OBRA</v>
      </c>
      <c r="D230" s="58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9" t="str">
        <f>IF(H230="","",MID(VLOOKUP(H230,Codigo_Material!$A$2:$C$9999,2,0),1,30))</f>
        <v/>
      </c>
      <c r="J230" s="59"/>
      <c r="K230" s="53" t="str">
        <f>IF(H230="","",MID(VLOOKUP(H230,Codigo_Material!$A$2:$C$6426,3,0),1,25))</f>
        <v/>
      </c>
      <c r="L230" s="19"/>
      <c r="M230" s="20"/>
      <c r="N230" s="1"/>
      <c r="O230" s="2"/>
      <c r="P230" s="60"/>
      <c r="Q230" s="60"/>
      <c r="R230" s="60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8" t="str">
        <f t="shared" si="16"/>
        <v>OBRA</v>
      </c>
      <c r="D231" s="58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9" t="str">
        <f>IF(H231="","",MID(VLOOKUP(H231,Codigo_Material!$A$2:$C$9999,2,0),1,30))</f>
        <v/>
      </c>
      <c r="J231" s="59"/>
      <c r="K231" s="53" t="str">
        <f>IF(H231="","",MID(VLOOKUP(H231,Codigo_Material!$A$2:$C$6426,3,0),1,25))</f>
        <v/>
      </c>
      <c r="L231" s="19"/>
      <c r="M231" s="20"/>
      <c r="N231" s="1"/>
      <c r="O231" s="2"/>
      <c r="P231" s="60"/>
      <c r="Q231" s="60"/>
      <c r="R231" s="60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8" t="str">
        <f t="shared" si="16"/>
        <v>OBRA</v>
      </c>
      <c r="D232" s="58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9" t="str">
        <f>IF(H232="","",MID(VLOOKUP(H232,Codigo_Material!$A$2:$C$9999,2,0),1,30))</f>
        <v/>
      </c>
      <c r="J232" s="59"/>
      <c r="K232" s="53" t="str">
        <f>IF(H232="","",MID(VLOOKUP(H232,Codigo_Material!$A$2:$C$6426,3,0),1,25))</f>
        <v/>
      </c>
      <c r="L232" s="19"/>
      <c r="M232" s="20"/>
      <c r="N232" s="1"/>
      <c r="O232" s="2"/>
      <c r="P232" s="60"/>
      <c r="Q232" s="60"/>
      <c r="R232" s="60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8" t="str">
        <f t="shared" si="16"/>
        <v>OBRA</v>
      </c>
      <c r="D233" s="58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9" t="str">
        <f>IF(H233="","",MID(VLOOKUP(H233,Codigo_Material!$A$2:$C$9999,2,0),1,30))</f>
        <v/>
      </c>
      <c r="J233" s="59"/>
      <c r="K233" s="53" t="str">
        <f>IF(H233="","",MID(VLOOKUP(H233,Codigo_Material!$A$2:$C$6426,3,0),1,25))</f>
        <v/>
      </c>
      <c r="L233" s="19"/>
      <c r="M233" s="20"/>
      <c r="N233" s="1"/>
      <c r="O233" s="2"/>
      <c r="P233" s="60"/>
      <c r="Q233" s="60"/>
      <c r="R233" s="60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8" t="str">
        <f t="shared" si="16"/>
        <v>OBRA</v>
      </c>
      <c r="D234" s="58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9" t="str">
        <f>IF(H234="","",MID(VLOOKUP(H234,Codigo_Material!$A$2:$C$9999,2,0),1,30))</f>
        <v/>
      </c>
      <c r="J234" s="59"/>
      <c r="K234" s="53" t="str">
        <f>IF(H234="","",MID(VLOOKUP(H234,Codigo_Material!$A$2:$C$6426,3,0),1,25))</f>
        <v/>
      </c>
      <c r="L234" s="19"/>
      <c r="M234" s="20"/>
      <c r="N234" s="1"/>
      <c r="O234" s="2"/>
      <c r="P234" s="60"/>
      <c r="Q234" s="60"/>
      <c r="R234" s="60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8" t="str">
        <f t="shared" si="16"/>
        <v>OBRA</v>
      </c>
      <c r="D235" s="58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9" t="str">
        <f>IF(H235="","",MID(VLOOKUP(H235,Codigo_Material!$A$2:$C$9999,2,0),1,30))</f>
        <v/>
      </c>
      <c r="J235" s="59"/>
      <c r="K235" s="53" t="str">
        <f>IF(H235="","",MID(VLOOKUP(H235,Codigo_Material!$A$2:$C$6426,3,0),1,25))</f>
        <v/>
      </c>
      <c r="L235" s="19"/>
      <c r="M235" s="20"/>
      <c r="N235" s="1"/>
      <c r="O235" s="2"/>
      <c r="P235" s="60"/>
      <c r="Q235" s="60"/>
      <c r="R235" s="60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8" t="str">
        <f t="shared" si="16"/>
        <v>OBRA</v>
      </c>
      <c r="D236" s="58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9" t="str">
        <f>IF(H236="","",MID(VLOOKUP(H236,Codigo_Material!$A$2:$C$9999,2,0),1,30))</f>
        <v/>
      </c>
      <c r="J236" s="59"/>
      <c r="K236" s="53" t="str">
        <f>IF(H236="","",MID(VLOOKUP(H236,Codigo_Material!$A$2:$C$6426,3,0),1,25))</f>
        <v/>
      </c>
      <c r="L236" s="19"/>
      <c r="M236" s="20"/>
      <c r="N236" s="1"/>
      <c r="O236" s="2"/>
      <c r="P236" s="60"/>
      <c r="Q236" s="60"/>
      <c r="R236" s="60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8" t="str">
        <f t="shared" si="16"/>
        <v>OBRA</v>
      </c>
      <c r="D237" s="58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9" t="str">
        <f>IF(H237="","",MID(VLOOKUP(H237,Codigo_Material!$A$2:$C$9999,2,0),1,30))</f>
        <v/>
      </c>
      <c r="J237" s="59"/>
      <c r="K237" s="53" t="str">
        <f>IF(H237="","",MID(VLOOKUP(H237,Codigo_Material!$A$2:$C$6426,3,0),1,25))</f>
        <v/>
      </c>
      <c r="L237" s="19"/>
      <c r="M237" s="20"/>
      <c r="N237" s="1"/>
      <c r="O237" s="2"/>
      <c r="P237" s="60"/>
      <c r="Q237" s="60"/>
      <c r="R237" s="60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8" t="str">
        <f t="shared" si="16"/>
        <v>OBRA</v>
      </c>
      <c r="D238" s="58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9" t="str">
        <f>IF(H238="","",MID(VLOOKUP(H238,Codigo_Material!$A$2:$C$9999,2,0),1,30))</f>
        <v/>
      </c>
      <c r="J238" s="59"/>
      <c r="K238" s="53" t="str">
        <f>IF(H238="","",MID(VLOOKUP(H238,Codigo_Material!$A$2:$C$6426,3,0),1,25))</f>
        <v/>
      </c>
      <c r="L238" s="19"/>
      <c r="M238" s="20"/>
      <c r="N238" s="1"/>
      <c r="O238" s="2"/>
      <c r="P238" s="60"/>
      <c r="Q238" s="60"/>
      <c r="R238" s="60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8" t="str">
        <f t="shared" si="16"/>
        <v>OBRA</v>
      </c>
      <c r="D239" s="58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9" t="str">
        <f>IF(H239="","",MID(VLOOKUP(H239,Codigo_Material!$A$2:$C$9999,2,0),1,30))</f>
        <v/>
      </c>
      <c r="J239" s="59"/>
      <c r="K239" s="53" t="str">
        <f>IF(H239="","",MID(VLOOKUP(H239,Codigo_Material!$A$2:$C$6426,3,0),1,25))</f>
        <v/>
      </c>
      <c r="L239" s="19"/>
      <c r="M239" s="20"/>
      <c r="N239" s="1"/>
      <c r="O239" s="2"/>
      <c r="P239" s="60"/>
      <c r="Q239" s="60"/>
      <c r="R239" s="60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8" t="str">
        <f t="shared" si="16"/>
        <v>OBRA</v>
      </c>
      <c r="D240" s="58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9" t="str">
        <f>IF(H240="","",MID(VLOOKUP(H240,Codigo_Material!$A$2:$C$9999,2,0),1,30))</f>
        <v/>
      </c>
      <c r="J240" s="59"/>
      <c r="K240" s="53" t="str">
        <f>IF(H240="","",MID(VLOOKUP(H240,Codigo_Material!$A$2:$C$6426,3,0),1,25))</f>
        <v/>
      </c>
      <c r="L240" s="19"/>
      <c r="M240" s="20"/>
      <c r="N240" s="1"/>
      <c r="O240" s="2"/>
      <c r="P240" s="60"/>
      <c r="Q240" s="60"/>
      <c r="R240" s="60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8" t="str">
        <f t="shared" si="16"/>
        <v>OBRA</v>
      </c>
      <c r="D241" s="58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9" t="str">
        <f>IF(H241="","",MID(VLOOKUP(H241,Codigo_Material!$A$2:$C$9999,2,0),1,30))</f>
        <v/>
      </c>
      <c r="J241" s="59"/>
      <c r="K241" s="53" t="str">
        <f>IF(H241="","",MID(VLOOKUP(H241,Codigo_Material!$A$2:$C$6426,3,0),1,25))</f>
        <v/>
      </c>
      <c r="L241" s="19"/>
      <c r="M241" s="20"/>
      <c r="N241" s="1"/>
      <c r="O241" s="2"/>
      <c r="P241" s="60"/>
      <c r="Q241" s="60"/>
      <c r="R241" s="60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8" t="str">
        <f t="shared" si="16"/>
        <v>OBRA</v>
      </c>
      <c r="D242" s="58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9" t="str">
        <f>IF(H242="","",MID(VLOOKUP(H242,Codigo_Material!$A$2:$C$9999,2,0),1,30))</f>
        <v/>
      </c>
      <c r="J242" s="59"/>
      <c r="K242" s="53" t="str">
        <f>IF(H242="","",MID(VLOOKUP(H242,Codigo_Material!$A$2:$C$6426,3,0),1,25))</f>
        <v/>
      </c>
      <c r="L242" s="19"/>
      <c r="M242" s="20"/>
      <c r="N242" s="1"/>
      <c r="O242" s="2"/>
      <c r="P242" s="60"/>
      <c r="Q242" s="60"/>
      <c r="R242" s="60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8" t="str">
        <f t="shared" si="16"/>
        <v>OBRA</v>
      </c>
      <c r="D243" s="58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9" t="str">
        <f>IF(H243="","",MID(VLOOKUP(H243,Codigo_Material!$A$2:$C$9999,2,0),1,30))</f>
        <v/>
      </c>
      <c r="J243" s="59"/>
      <c r="K243" s="53" t="str">
        <f>IF(H243="","",MID(VLOOKUP(H243,Codigo_Material!$A$2:$C$6426,3,0),1,25))</f>
        <v/>
      </c>
      <c r="L243" s="19"/>
      <c r="M243" s="20"/>
      <c r="N243" s="1"/>
      <c r="O243" s="2"/>
      <c r="P243" s="60"/>
      <c r="Q243" s="60"/>
      <c r="R243" s="60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8" t="str">
        <f t="shared" si="16"/>
        <v>OBRA</v>
      </c>
      <c r="D244" s="58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9" t="str">
        <f>IF(H244="","",MID(VLOOKUP(H244,Codigo_Material!$A$2:$C$9999,2,0),1,30))</f>
        <v/>
      </c>
      <c r="J244" s="59"/>
      <c r="K244" s="53" t="str">
        <f>IF(H244="","",MID(VLOOKUP(H244,Codigo_Material!$A$2:$C$6426,3,0),1,25))</f>
        <v/>
      </c>
      <c r="L244" s="19"/>
      <c r="M244" s="20"/>
      <c r="N244" s="1"/>
      <c r="O244" s="2"/>
      <c r="P244" s="60"/>
      <c r="Q244" s="60"/>
      <c r="R244" s="60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8" t="str">
        <f t="shared" si="16"/>
        <v>OBRA</v>
      </c>
      <c r="D245" s="58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9" t="str">
        <f>IF(H245="","",MID(VLOOKUP(H245,Codigo_Material!$A$2:$C$9999,2,0),1,30))</f>
        <v/>
      </c>
      <c r="J245" s="59"/>
      <c r="K245" s="53" t="str">
        <f>IF(H245="","",MID(VLOOKUP(H245,Codigo_Material!$A$2:$C$6426,3,0),1,25))</f>
        <v/>
      </c>
      <c r="L245" s="19"/>
      <c r="M245" s="20"/>
      <c r="N245" s="1"/>
      <c r="O245" s="2"/>
      <c r="P245" s="60"/>
      <c r="Q245" s="60"/>
      <c r="R245" s="60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8" t="str">
        <f t="shared" si="16"/>
        <v>OBRA</v>
      </c>
      <c r="D246" s="58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9" t="str">
        <f>IF(H246="","",MID(VLOOKUP(H246,Codigo_Material!$A$2:$C$9999,2,0),1,30))</f>
        <v/>
      </c>
      <c r="J246" s="59"/>
      <c r="K246" s="53" t="str">
        <f>IF(H246="","",MID(VLOOKUP(H246,Codigo_Material!$A$2:$C$6426,3,0),1,25))</f>
        <v/>
      </c>
      <c r="L246" s="19"/>
      <c r="M246" s="20"/>
      <c r="N246" s="1"/>
      <c r="O246" s="2"/>
      <c r="P246" s="60"/>
      <c r="Q246" s="60"/>
      <c r="R246" s="60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8" t="str">
        <f t="shared" si="16"/>
        <v>OBRA</v>
      </c>
      <c r="D247" s="58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9" t="str">
        <f>IF(H247="","",MID(VLOOKUP(H247,Codigo_Material!$A$2:$C$9999,2,0),1,30))</f>
        <v/>
      </c>
      <c r="J247" s="59"/>
      <c r="K247" s="53" t="str">
        <f>IF(H247="","",MID(VLOOKUP(H247,Codigo_Material!$A$2:$C$6426,3,0),1,25))</f>
        <v/>
      </c>
      <c r="L247" s="19"/>
      <c r="M247" s="20"/>
      <c r="N247" s="1"/>
      <c r="O247" s="2"/>
      <c r="P247" s="60"/>
      <c r="Q247" s="60"/>
      <c r="R247" s="60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8" t="str">
        <f t="shared" si="16"/>
        <v>OBRA</v>
      </c>
      <c r="D248" s="58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9" t="str">
        <f>IF(H248="","",MID(VLOOKUP(H248,Codigo_Material!$A$2:$C$9999,2,0),1,30))</f>
        <v/>
      </c>
      <c r="J248" s="59"/>
      <c r="K248" s="53" t="str">
        <f>IF(H248="","",MID(VLOOKUP(H248,Codigo_Material!$A$2:$C$6426,3,0),1,25))</f>
        <v/>
      </c>
      <c r="L248" s="19"/>
      <c r="M248" s="20"/>
      <c r="N248" s="1"/>
      <c r="O248" s="2"/>
      <c r="P248" s="60"/>
      <c r="Q248" s="60"/>
      <c r="R248" s="60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8" t="str">
        <f t="shared" si="16"/>
        <v>OBRA</v>
      </c>
      <c r="D249" s="58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9" t="str">
        <f>IF(H249="","",MID(VLOOKUP(H249,Codigo_Material!$A$2:$C$9999,2,0),1,30))</f>
        <v/>
      </c>
      <c r="J249" s="59"/>
      <c r="K249" s="53" t="str">
        <f>IF(H249="","",MID(VLOOKUP(H249,Codigo_Material!$A$2:$C$6426,3,0),1,25))</f>
        <v/>
      </c>
      <c r="L249" s="19"/>
      <c r="M249" s="20"/>
      <c r="N249" s="1"/>
      <c r="O249" s="2"/>
      <c r="P249" s="60"/>
      <c r="Q249" s="60"/>
      <c r="R249" s="60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8" t="str">
        <f t="shared" si="16"/>
        <v>OBRA</v>
      </c>
      <c r="D250" s="58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9" t="str">
        <f>IF(H250="","",MID(VLOOKUP(H250,Codigo_Material!$A$2:$C$9999,2,0),1,30))</f>
        <v/>
      </c>
      <c r="J250" s="59"/>
      <c r="K250" s="53" t="str">
        <f>IF(H250="","",MID(VLOOKUP(H250,Codigo_Material!$A$2:$C$6426,3,0),1,25))</f>
        <v/>
      </c>
      <c r="L250" s="19"/>
      <c r="M250" s="20"/>
      <c r="N250" s="1"/>
      <c r="O250" s="2"/>
      <c r="P250" s="60"/>
      <c r="Q250" s="60"/>
      <c r="R250" s="60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8" t="str">
        <f t="shared" si="16"/>
        <v>OBRA</v>
      </c>
      <c r="D251" s="58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9" t="str">
        <f>IF(H251="","",MID(VLOOKUP(H251,Codigo_Material!$A$2:$C$9999,2,0),1,30))</f>
        <v/>
      </c>
      <c r="J251" s="59"/>
      <c r="K251" s="53" t="str">
        <f>IF(H251="","",MID(VLOOKUP(H251,Codigo_Material!$A$2:$C$6426,3,0),1,25))</f>
        <v/>
      </c>
      <c r="L251" s="19"/>
      <c r="M251" s="20"/>
      <c r="N251" s="1"/>
      <c r="O251" s="2"/>
      <c r="P251" s="60"/>
      <c r="Q251" s="60"/>
      <c r="R251" s="60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8" t="str">
        <f t="shared" si="16"/>
        <v>OBRA</v>
      </c>
      <c r="D252" s="58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9" t="str">
        <f>IF(H252="","",MID(VLOOKUP(H252,Codigo_Material!$A$2:$C$9999,2,0),1,30))</f>
        <v/>
      </c>
      <c r="J252" s="59"/>
      <c r="K252" s="53" t="str">
        <f>IF(H252="","",MID(VLOOKUP(H252,Codigo_Material!$A$2:$C$6426,3,0),1,25))</f>
        <v/>
      </c>
      <c r="L252" s="19"/>
      <c r="M252" s="20"/>
      <c r="N252" s="1"/>
      <c r="O252" s="2"/>
      <c r="P252" s="60"/>
      <c r="Q252" s="60"/>
      <c r="R252" s="60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8" t="str">
        <f t="shared" si="16"/>
        <v>OBRA</v>
      </c>
      <c r="D253" s="58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9" t="str">
        <f>IF(H253="","",MID(VLOOKUP(H253,Codigo_Material!$A$2:$C$9999,2,0),1,30))</f>
        <v/>
      </c>
      <c r="J253" s="59"/>
      <c r="K253" s="53" t="str">
        <f>IF(H253="","",MID(VLOOKUP(H253,Codigo_Material!$A$2:$C$6426,3,0),1,25))</f>
        <v/>
      </c>
      <c r="L253" s="19"/>
      <c r="M253" s="20"/>
      <c r="N253" s="1"/>
      <c r="O253" s="2"/>
      <c r="P253" s="60"/>
      <c r="Q253" s="60"/>
      <c r="R253" s="60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8" t="str">
        <f t="shared" si="16"/>
        <v>OBRA</v>
      </c>
      <c r="D254" s="58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9" t="str">
        <f>IF(H254="","",MID(VLOOKUP(H254,Codigo_Material!$A$2:$C$9999,2,0),1,30))</f>
        <v/>
      </c>
      <c r="J254" s="59"/>
      <c r="K254" s="53" t="str">
        <f>IF(H254="","",MID(VLOOKUP(H254,Codigo_Material!$A$2:$C$6426,3,0),1,25))</f>
        <v/>
      </c>
      <c r="L254" s="19"/>
      <c r="M254" s="20"/>
      <c r="N254" s="1"/>
      <c r="O254" s="2"/>
      <c r="P254" s="60"/>
      <c r="Q254" s="60"/>
      <c r="R254" s="60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8" t="str">
        <f t="shared" si="16"/>
        <v>OBRA</v>
      </c>
      <c r="D255" s="58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9" t="str">
        <f>IF(H255="","",MID(VLOOKUP(H255,Codigo_Material!$A$2:$C$9999,2,0),1,30))</f>
        <v/>
      </c>
      <c r="J255" s="59"/>
      <c r="K255" s="53" t="str">
        <f>IF(H255="","",MID(VLOOKUP(H255,Codigo_Material!$A$2:$C$6426,3,0),1,25))</f>
        <v/>
      </c>
      <c r="L255" s="19"/>
      <c r="M255" s="20"/>
      <c r="N255" s="1"/>
      <c r="O255" s="2"/>
      <c r="P255" s="60"/>
      <c r="Q255" s="60"/>
      <c r="R255" s="60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8" t="str">
        <f t="shared" si="16"/>
        <v>OBRA</v>
      </c>
      <c r="D256" s="58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9" t="str">
        <f>IF(H256="","",MID(VLOOKUP(H256,Codigo_Material!$A$2:$C$9999,2,0),1,30))</f>
        <v/>
      </c>
      <c r="J256" s="59"/>
      <c r="K256" s="53" t="str">
        <f>IF(H256="","",MID(VLOOKUP(H256,Codigo_Material!$A$2:$C$6426,3,0),1,25))</f>
        <v/>
      </c>
      <c r="L256" s="19"/>
      <c r="M256" s="20"/>
      <c r="N256" s="1"/>
      <c r="O256" s="2"/>
      <c r="P256" s="60"/>
      <c r="Q256" s="60"/>
      <c r="R256" s="60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8" t="str">
        <f t="shared" si="16"/>
        <v>OBRA</v>
      </c>
      <c r="D257" s="58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9" t="str">
        <f>IF(H257="","",MID(VLOOKUP(H257,Codigo_Material!$A$2:$C$9999,2,0),1,30))</f>
        <v/>
      </c>
      <c r="J257" s="59"/>
      <c r="K257" s="53" t="str">
        <f>IF(H257="","",MID(VLOOKUP(H257,Codigo_Material!$A$2:$C$6426,3,0),1,25))</f>
        <v/>
      </c>
      <c r="L257" s="19"/>
      <c r="M257" s="20"/>
      <c r="N257" s="1"/>
      <c r="O257" s="2"/>
      <c r="P257" s="60"/>
      <c r="Q257" s="60"/>
      <c r="R257" s="60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8" t="str">
        <f t="shared" si="16"/>
        <v>OBRA</v>
      </c>
      <c r="D258" s="58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9" t="str">
        <f>IF(H258="","",MID(VLOOKUP(H258,Codigo_Material!$A$2:$C$9999,2,0),1,30))</f>
        <v/>
      </c>
      <c r="J258" s="59"/>
      <c r="K258" s="53" t="str">
        <f>IF(H258="","",MID(VLOOKUP(H258,Codigo_Material!$A$2:$C$6426,3,0),1,25))</f>
        <v/>
      </c>
      <c r="L258" s="19"/>
      <c r="M258" s="20"/>
      <c r="N258" s="1"/>
      <c r="O258" s="2"/>
      <c r="P258" s="60"/>
      <c r="Q258" s="60"/>
      <c r="R258" s="60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8" t="str">
        <f t="shared" si="16"/>
        <v>OBRA</v>
      </c>
      <c r="D259" s="58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9" t="str">
        <f>IF(H259="","",MID(VLOOKUP(H259,Codigo_Material!$A$2:$C$9999,2,0),1,30))</f>
        <v/>
      </c>
      <c r="J259" s="59"/>
      <c r="K259" s="53" t="str">
        <f>IF(H259="","",MID(VLOOKUP(H259,Codigo_Material!$A$2:$C$6426,3,0),1,25))</f>
        <v/>
      </c>
      <c r="L259" s="19"/>
      <c r="M259" s="20"/>
      <c r="N259" s="1"/>
      <c r="O259" s="2"/>
      <c r="P259" s="60"/>
      <c r="Q259" s="60"/>
      <c r="R259" s="60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8" t="str">
        <f t="shared" si="16"/>
        <v>OBRA</v>
      </c>
      <c r="D260" s="58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9" t="str">
        <f>IF(H260="","",MID(VLOOKUP(H260,Codigo_Material!$A$2:$C$9999,2,0),1,30))</f>
        <v/>
      </c>
      <c r="J260" s="59"/>
      <c r="K260" s="53" t="str">
        <f>IF(H260="","",MID(VLOOKUP(H260,Codigo_Material!$A$2:$C$6426,3,0),1,25))</f>
        <v/>
      </c>
      <c r="L260" s="19"/>
      <c r="M260" s="20"/>
      <c r="N260" s="1"/>
      <c r="O260" s="2"/>
      <c r="P260" s="60"/>
      <c r="Q260" s="60"/>
      <c r="R260" s="60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8" t="str">
        <f t="shared" si="16"/>
        <v>OBRA</v>
      </c>
      <c r="D261" s="58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9" t="str">
        <f>IF(H261="","",MID(VLOOKUP(H261,Codigo_Material!$A$2:$C$9999,2,0),1,30))</f>
        <v/>
      </c>
      <c r="J261" s="59"/>
      <c r="K261" s="53" t="str">
        <f>IF(H261="","",MID(VLOOKUP(H261,Codigo_Material!$A$2:$C$6426,3,0),1,25))</f>
        <v/>
      </c>
      <c r="L261" s="19"/>
      <c r="M261" s="20"/>
      <c r="N261" s="1"/>
      <c r="O261" s="2"/>
      <c r="P261" s="60"/>
      <c r="Q261" s="60"/>
      <c r="R261" s="60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8" t="str">
        <f t="shared" si="16"/>
        <v>OBRA</v>
      </c>
      <c r="D262" s="58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9" t="str">
        <f>IF(H262="","",MID(VLOOKUP(H262,Codigo_Material!$A$2:$C$9999,2,0),1,30))</f>
        <v/>
      </c>
      <c r="J262" s="59"/>
      <c r="K262" s="53" t="str">
        <f>IF(H262="","",MID(VLOOKUP(H262,Codigo_Material!$A$2:$C$6426,3,0),1,25))</f>
        <v/>
      </c>
      <c r="L262" s="19"/>
      <c r="M262" s="20"/>
      <c r="N262" s="1"/>
      <c r="O262" s="2"/>
      <c r="P262" s="60"/>
      <c r="Q262" s="60"/>
      <c r="R262" s="60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8" t="str">
        <f t="shared" si="16"/>
        <v>OBRA</v>
      </c>
      <c r="D263" s="58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9" t="str">
        <f>IF(H263="","",MID(VLOOKUP(H263,Codigo_Material!$A$2:$C$9999,2,0),1,30))</f>
        <v/>
      </c>
      <c r="J263" s="59"/>
      <c r="K263" s="53" t="str">
        <f>IF(H263="","",MID(VLOOKUP(H263,Codigo_Material!$A$2:$C$6426,3,0),1,25))</f>
        <v/>
      </c>
      <c r="L263" s="19"/>
      <c r="M263" s="20"/>
      <c r="N263" s="1"/>
      <c r="O263" s="2"/>
      <c r="P263" s="60"/>
      <c r="Q263" s="60"/>
      <c r="R263" s="60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8" t="str">
        <f t="shared" si="16"/>
        <v>OBRA</v>
      </c>
      <c r="D264" s="58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9" t="str">
        <f>IF(H264="","",MID(VLOOKUP(H264,Codigo_Material!$A$2:$C$9999,2,0),1,30))</f>
        <v/>
      </c>
      <c r="J264" s="59"/>
      <c r="K264" s="53" t="str">
        <f>IF(H264="","",MID(VLOOKUP(H264,Codigo_Material!$A$2:$C$6426,3,0),1,25))</f>
        <v/>
      </c>
      <c r="L264" s="19"/>
      <c r="M264" s="20"/>
      <c r="N264" s="1"/>
      <c r="O264" s="2"/>
      <c r="P264" s="60"/>
      <c r="Q264" s="60"/>
      <c r="R264" s="60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8" t="str">
        <f t="shared" si="16"/>
        <v>OBRA</v>
      </c>
      <c r="D265" s="58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9" t="str">
        <f>IF(H265="","",MID(VLOOKUP(H265,Codigo_Material!$A$2:$C$9999,2,0),1,30))</f>
        <v/>
      </c>
      <c r="J265" s="59"/>
      <c r="K265" s="53" t="str">
        <f>IF(H265="","",MID(VLOOKUP(H265,Codigo_Material!$A$2:$C$6426,3,0),1,25))</f>
        <v/>
      </c>
      <c r="L265" s="19"/>
      <c r="M265" s="20"/>
      <c r="N265" s="1"/>
      <c r="O265" s="2"/>
      <c r="P265" s="60"/>
      <c r="Q265" s="60"/>
      <c r="R265" s="60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8" t="str">
        <f t="shared" ref="C266:C329" si="21">IF($F$5="","",$F$5)</f>
        <v>OBRA</v>
      </c>
      <c r="D266" s="58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9" t="str">
        <f>IF(H266="","",MID(VLOOKUP(H266,Codigo_Material!$A$2:$C$9999,2,0),1,30))</f>
        <v/>
      </c>
      <c r="J266" s="59"/>
      <c r="K266" s="53" t="str">
        <f>IF(H266="","",MID(VLOOKUP(H266,Codigo_Material!$A$2:$C$6426,3,0),1,25))</f>
        <v/>
      </c>
      <c r="L266" s="19"/>
      <c r="M266" s="20"/>
      <c r="N266" s="1"/>
      <c r="O266" s="2"/>
      <c r="P266" s="60"/>
      <c r="Q266" s="60"/>
      <c r="R266" s="60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8" t="str">
        <f t="shared" si="21"/>
        <v>OBRA</v>
      </c>
      <c r="D267" s="58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9" t="str">
        <f>IF(H267="","",MID(VLOOKUP(H267,Codigo_Material!$A$2:$C$9999,2,0),1,30))</f>
        <v/>
      </c>
      <c r="J267" s="59"/>
      <c r="K267" s="53" t="str">
        <f>IF(H267="","",MID(VLOOKUP(H267,Codigo_Material!$A$2:$C$6426,3,0),1,25))</f>
        <v/>
      </c>
      <c r="L267" s="19"/>
      <c r="M267" s="20"/>
      <c r="N267" s="1"/>
      <c r="O267" s="2"/>
      <c r="P267" s="60"/>
      <c r="Q267" s="60"/>
      <c r="R267" s="60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8" t="str">
        <f t="shared" si="21"/>
        <v>OBRA</v>
      </c>
      <c r="D268" s="58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9" t="str">
        <f>IF(H268="","",MID(VLOOKUP(H268,Codigo_Material!$A$2:$C$9999,2,0),1,30))</f>
        <v/>
      </c>
      <c r="J268" s="59"/>
      <c r="K268" s="53" t="str">
        <f>IF(H268="","",MID(VLOOKUP(H268,Codigo_Material!$A$2:$C$6426,3,0),1,25))</f>
        <v/>
      </c>
      <c r="L268" s="19"/>
      <c r="M268" s="20"/>
      <c r="N268" s="1"/>
      <c r="O268" s="2"/>
      <c r="P268" s="60"/>
      <c r="Q268" s="60"/>
      <c r="R268" s="60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8" t="str">
        <f t="shared" si="21"/>
        <v>OBRA</v>
      </c>
      <c r="D269" s="58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9" t="str">
        <f>IF(H269="","",MID(VLOOKUP(H269,Codigo_Material!$A$2:$C$9999,2,0),1,30))</f>
        <v/>
      </c>
      <c r="J269" s="59"/>
      <c r="K269" s="53" t="str">
        <f>IF(H269="","",MID(VLOOKUP(H269,Codigo_Material!$A$2:$C$6426,3,0),1,25))</f>
        <v/>
      </c>
      <c r="L269" s="19"/>
      <c r="M269" s="20"/>
      <c r="N269" s="1"/>
      <c r="O269" s="2"/>
      <c r="P269" s="60"/>
      <c r="Q269" s="60"/>
      <c r="R269" s="60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8" t="str">
        <f t="shared" si="21"/>
        <v>OBRA</v>
      </c>
      <c r="D270" s="58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9" t="str">
        <f>IF(H270="","",MID(VLOOKUP(H270,Codigo_Material!$A$2:$C$9999,2,0),1,30))</f>
        <v/>
      </c>
      <c r="J270" s="59"/>
      <c r="K270" s="53" t="str">
        <f>IF(H270="","",MID(VLOOKUP(H270,Codigo_Material!$A$2:$C$6426,3,0),1,25))</f>
        <v/>
      </c>
      <c r="L270" s="19"/>
      <c r="M270" s="20"/>
      <c r="N270" s="1"/>
      <c r="O270" s="2"/>
      <c r="P270" s="60"/>
      <c r="Q270" s="60"/>
      <c r="R270" s="60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8" t="str">
        <f t="shared" si="21"/>
        <v>OBRA</v>
      </c>
      <c r="D271" s="58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9" t="str">
        <f>IF(H271="","",MID(VLOOKUP(H271,Codigo_Material!$A$2:$C$9999,2,0),1,30))</f>
        <v/>
      </c>
      <c r="J271" s="59"/>
      <c r="K271" s="53" t="str">
        <f>IF(H271="","",MID(VLOOKUP(H271,Codigo_Material!$A$2:$C$6426,3,0),1,25))</f>
        <v/>
      </c>
      <c r="L271" s="19"/>
      <c r="M271" s="20"/>
      <c r="N271" s="1"/>
      <c r="O271" s="2"/>
      <c r="P271" s="60"/>
      <c r="Q271" s="60"/>
      <c r="R271" s="60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8" t="str">
        <f t="shared" si="21"/>
        <v>OBRA</v>
      </c>
      <c r="D272" s="58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9" t="str">
        <f>IF(H272="","",MID(VLOOKUP(H272,Codigo_Material!$A$2:$C$9999,2,0),1,30))</f>
        <v/>
      </c>
      <c r="J272" s="59"/>
      <c r="K272" s="53" t="str">
        <f>IF(H272="","",MID(VLOOKUP(H272,Codigo_Material!$A$2:$C$6426,3,0),1,25))</f>
        <v/>
      </c>
      <c r="L272" s="19"/>
      <c r="M272" s="20"/>
      <c r="N272" s="1"/>
      <c r="O272" s="2"/>
      <c r="P272" s="60"/>
      <c r="Q272" s="60"/>
      <c r="R272" s="60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8" t="str">
        <f t="shared" si="21"/>
        <v>OBRA</v>
      </c>
      <c r="D273" s="58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9" t="str">
        <f>IF(H273="","",MID(VLOOKUP(H273,Codigo_Material!$A$2:$C$9999,2,0),1,30))</f>
        <v/>
      </c>
      <c r="J273" s="59"/>
      <c r="K273" s="53" t="str">
        <f>IF(H273="","",MID(VLOOKUP(H273,Codigo_Material!$A$2:$C$6426,3,0),1,25))</f>
        <v/>
      </c>
      <c r="L273" s="19"/>
      <c r="M273" s="20"/>
      <c r="N273" s="1"/>
      <c r="O273" s="2"/>
      <c r="P273" s="60"/>
      <c r="Q273" s="60"/>
      <c r="R273" s="60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8" t="str">
        <f t="shared" si="21"/>
        <v>OBRA</v>
      </c>
      <c r="D274" s="58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9" t="str">
        <f>IF(H274="","",MID(VLOOKUP(H274,Codigo_Material!$A$2:$C$9999,2,0),1,30))</f>
        <v/>
      </c>
      <c r="J274" s="59"/>
      <c r="K274" s="53" t="str">
        <f>IF(H274="","",MID(VLOOKUP(H274,Codigo_Material!$A$2:$C$6426,3,0),1,25))</f>
        <v/>
      </c>
      <c r="L274" s="19"/>
      <c r="M274" s="20"/>
      <c r="N274" s="1"/>
      <c r="O274" s="2"/>
      <c r="P274" s="60"/>
      <c r="Q274" s="60"/>
      <c r="R274" s="60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8" t="str">
        <f t="shared" si="21"/>
        <v>OBRA</v>
      </c>
      <c r="D275" s="58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9" t="str">
        <f>IF(H275="","",MID(VLOOKUP(H275,Codigo_Material!$A$2:$C$9999,2,0),1,30))</f>
        <v/>
      </c>
      <c r="J275" s="59"/>
      <c r="K275" s="53" t="str">
        <f>IF(H275="","",MID(VLOOKUP(H275,Codigo_Material!$A$2:$C$6426,3,0),1,25))</f>
        <v/>
      </c>
      <c r="L275" s="19"/>
      <c r="M275" s="20"/>
      <c r="N275" s="1"/>
      <c r="O275" s="2"/>
      <c r="P275" s="60"/>
      <c r="Q275" s="60"/>
      <c r="R275" s="60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8" t="str">
        <f t="shared" si="21"/>
        <v>OBRA</v>
      </c>
      <c r="D276" s="58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9" t="str">
        <f>IF(H276="","",MID(VLOOKUP(H276,Codigo_Material!$A$2:$C$9999,2,0),1,30))</f>
        <v/>
      </c>
      <c r="J276" s="59"/>
      <c r="K276" s="53" t="str">
        <f>IF(H276="","",MID(VLOOKUP(H276,Codigo_Material!$A$2:$C$6426,3,0),1,25))</f>
        <v/>
      </c>
      <c r="L276" s="19"/>
      <c r="M276" s="20"/>
      <c r="N276" s="1"/>
      <c r="O276" s="2"/>
      <c r="P276" s="60"/>
      <c r="Q276" s="60"/>
      <c r="R276" s="60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8" t="str">
        <f t="shared" si="21"/>
        <v>OBRA</v>
      </c>
      <c r="D277" s="58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9" t="str">
        <f>IF(H277="","",MID(VLOOKUP(H277,Codigo_Material!$A$2:$C$9999,2,0),1,30))</f>
        <v/>
      </c>
      <c r="J277" s="59"/>
      <c r="K277" s="53" t="str">
        <f>IF(H277="","",MID(VLOOKUP(H277,Codigo_Material!$A$2:$C$6426,3,0),1,25))</f>
        <v/>
      </c>
      <c r="L277" s="19"/>
      <c r="M277" s="20"/>
      <c r="N277" s="1"/>
      <c r="O277" s="2"/>
      <c r="P277" s="60"/>
      <c r="Q277" s="60"/>
      <c r="R277" s="60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8" t="str">
        <f t="shared" si="21"/>
        <v>OBRA</v>
      </c>
      <c r="D278" s="58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9" t="str">
        <f>IF(H278="","",MID(VLOOKUP(H278,Codigo_Material!$A$2:$C$9999,2,0),1,30))</f>
        <v/>
      </c>
      <c r="J278" s="59"/>
      <c r="K278" s="53" t="str">
        <f>IF(H278="","",MID(VLOOKUP(H278,Codigo_Material!$A$2:$C$6426,3,0),1,25))</f>
        <v/>
      </c>
      <c r="L278" s="19"/>
      <c r="M278" s="20"/>
      <c r="N278" s="1"/>
      <c r="O278" s="2"/>
      <c r="P278" s="60"/>
      <c r="Q278" s="60"/>
      <c r="R278" s="60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8" t="str">
        <f t="shared" si="21"/>
        <v>OBRA</v>
      </c>
      <c r="D279" s="58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9" t="str">
        <f>IF(H279="","",MID(VLOOKUP(H279,Codigo_Material!$A$2:$C$9999,2,0),1,30))</f>
        <v/>
      </c>
      <c r="J279" s="59"/>
      <c r="K279" s="53" t="str">
        <f>IF(H279="","",MID(VLOOKUP(H279,Codigo_Material!$A$2:$C$6426,3,0),1,25))</f>
        <v/>
      </c>
      <c r="L279" s="19"/>
      <c r="M279" s="20"/>
      <c r="N279" s="1"/>
      <c r="O279" s="2"/>
      <c r="P279" s="60"/>
      <c r="Q279" s="60"/>
      <c r="R279" s="60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8" t="str">
        <f t="shared" si="21"/>
        <v>OBRA</v>
      </c>
      <c r="D280" s="58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9" t="str">
        <f>IF(H280="","",MID(VLOOKUP(H280,Codigo_Material!$A$2:$C$9999,2,0),1,30))</f>
        <v/>
      </c>
      <c r="J280" s="59"/>
      <c r="K280" s="53" t="str">
        <f>IF(H280="","",MID(VLOOKUP(H280,Codigo_Material!$A$2:$C$6426,3,0),1,25))</f>
        <v/>
      </c>
      <c r="L280" s="19"/>
      <c r="M280" s="20"/>
      <c r="N280" s="1"/>
      <c r="O280" s="2"/>
      <c r="P280" s="60"/>
      <c r="Q280" s="60"/>
      <c r="R280" s="60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8" t="str">
        <f t="shared" si="21"/>
        <v>OBRA</v>
      </c>
      <c r="D281" s="58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9" t="str">
        <f>IF(H281="","",MID(VLOOKUP(H281,Codigo_Material!$A$2:$C$9999,2,0),1,30))</f>
        <v/>
      </c>
      <c r="J281" s="59"/>
      <c r="K281" s="53" t="str">
        <f>IF(H281="","",MID(VLOOKUP(H281,Codigo_Material!$A$2:$C$6426,3,0),1,25))</f>
        <v/>
      </c>
      <c r="L281" s="19"/>
      <c r="M281" s="20"/>
      <c r="N281" s="1"/>
      <c r="O281" s="2"/>
      <c r="P281" s="60"/>
      <c r="Q281" s="60"/>
      <c r="R281" s="60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8" t="str">
        <f t="shared" si="21"/>
        <v>OBRA</v>
      </c>
      <c r="D282" s="58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9" t="str">
        <f>IF(H282="","",MID(VLOOKUP(H282,Codigo_Material!$A$2:$C$9999,2,0),1,30))</f>
        <v/>
      </c>
      <c r="J282" s="59"/>
      <c r="K282" s="53" t="str">
        <f>IF(H282="","",MID(VLOOKUP(H282,Codigo_Material!$A$2:$C$6426,3,0),1,25))</f>
        <v/>
      </c>
      <c r="L282" s="19"/>
      <c r="M282" s="20"/>
      <c r="N282" s="1"/>
      <c r="O282" s="2"/>
      <c r="P282" s="60"/>
      <c r="Q282" s="60"/>
      <c r="R282" s="60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8" t="str">
        <f t="shared" si="21"/>
        <v>OBRA</v>
      </c>
      <c r="D283" s="58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9" t="str">
        <f>IF(H283="","",MID(VLOOKUP(H283,Codigo_Material!$A$2:$C$9999,2,0),1,30))</f>
        <v/>
      </c>
      <c r="J283" s="59"/>
      <c r="K283" s="53" t="str">
        <f>IF(H283="","",MID(VLOOKUP(H283,Codigo_Material!$A$2:$C$6426,3,0),1,25))</f>
        <v/>
      </c>
      <c r="L283" s="19"/>
      <c r="M283" s="20"/>
      <c r="N283" s="1"/>
      <c r="O283" s="2"/>
      <c r="P283" s="60"/>
      <c r="Q283" s="60"/>
      <c r="R283" s="60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8" t="str">
        <f t="shared" si="21"/>
        <v>OBRA</v>
      </c>
      <c r="D284" s="58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9" t="str">
        <f>IF(H284="","",MID(VLOOKUP(H284,Codigo_Material!$A$2:$C$9999,2,0),1,30))</f>
        <v/>
      </c>
      <c r="J284" s="59"/>
      <c r="K284" s="53" t="str">
        <f>IF(H284="","",MID(VLOOKUP(H284,Codigo_Material!$A$2:$C$6426,3,0),1,25))</f>
        <v/>
      </c>
      <c r="L284" s="19"/>
      <c r="M284" s="20"/>
      <c r="N284" s="1"/>
      <c r="O284" s="2"/>
      <c r="P284" s="60"/>
      <c r="Q284" s="60"/>
      <c r="R284" s="60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8" t="str">
        <f t="shared" si="21"/>
        <v>OBRA</v>
      </c>
      <c r="D285" s="58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9" t="str">
        <f>IF(H285="","",MID(VLOOKUP(H285,Codigo_Material!$A$2:$C$9999,2,0),1,30))</f>
        <v/>
      </c>
      <c r="J285" s="59"/>
      <c r="K285" s="53" t="str">
        <f>IF(H285="","",MID(VLOOKUP(H285,Codigo_Material!$A$2:$C$6426,3,0),1,25))</f>
        <v/>
      </c>
      <c r="L285" s="19"/>
      <c r="M285" s="20"/>
      <c r="N285" s="1"/>
      <c r="O285" s="2"/>
      <c r="P285" s="60"/>
      <c r="Q285" s="60"/>
      <c r="R285" s="60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8" t="str">
        <f t="shared" si="21"/>
        <v>OBRA</v>
      </c>
      <c r="D286" s="58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9" t="str">
        <f>IF(H286="","",MID(VLOOKUP(H286,Codigo_Material!$A$2:$C$9999,2,0),1,30))</f>
        <v/>
      </c>
      <c r="J286" s="59"/>
      <c r="K286" s="53" t="str">
        <f>IF(H286="","",MID(VLOOKUP(H286,Codigo_Material!$A$2:$C$6426,3,0),1,25))</f>
        <v/>
      </c>
      <c r="L286" s="19"/>
      <c r="M286" s="20"/>
      <c r="N286" s="1"/>
      <c r="O286" s="2"/>
      <c r="P286" s="60"/>
      <c r="Q286" s="60"/>
      <c r="R286" s="60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8" t="str">
        <f t="shared" si="21"/>
        <v>OBRA</v>
      </c>
      <c r="D287" s="58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9" t="str">
        <f>IF(H287="","",MID(VLOOKUP(H287,Codigo_Material!$A$2:$C$9999,2,0),1,30))</f>
        <v/>
      </c>
      <c r="J287" s="59"/>
      <c r="K287" s="53" t="str">
        <f>IF(H287="","",MID(VLOOKUP(H287,Codigo_Material!$A$2:$C$6426,3,0),1,25))</f>
        <v/>
      </c>
      <c r="L287" s="19"/>
      <c r="M287" s="20"/>
      <c r="N287" s="1"/>
      <c r="O287" s="2"/>
      <c r="P287" s="60"/>
      <c r="Q287" s="60"/>
      <c r="R287" s="60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8" t="str">
        <f t="shared" si="21"/>
        <v>OBRA</v>
      </c>
      <c r="D288" s="58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9" t="str">
        <f>IF(H288="","",MID(VLOOKUP(H288,Codigo_Material!$A$2:$C$9999,2,0),1,30))</f>
        <v/>
      </c>
      <c r="J288" s="59"/>
      <c r="K288" s="53" t="str">
        <f>IF(H288="","",MID(VLOOKUP(H288,Codigo_Material!$A$2:$C$6426,3,0),1,25))</f>
        <v/>
      </c>
      <c r="L288" s="19"/>
      <c r="M288" s="20"/>
      <c r="N288" s="1"/>
      <c r="O288" s="2"/>
      <c r="P288" s="60"/>
      <c r="Q288" s="60"/>
      <c r="R288" s="60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8" t="str">
        <f t="shared" si="21"/>
        <v>OBRA</v>
      </c>
      <c r="D289" s="58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9" t="str">
        <f>IF(H289="","",MID(VLOOKUP(H289,Codigo_Material!$A$2:$C$9999,2,0),1,30))</f>
        <v/>
      </c>
      <c r="J289" s="59"/>
      <c r="K289" s="53" t="str">
        <f>IF(H289="","",MID(VLOOKUP(H289,Codigo_Material!$A$2:$C$6426,3,0),1,25))</f>
        <v/>
      </c>
      <c r="L289" s="19"/>
      <c r="M289" s="20"/>
      <c r="N289" s="1"/>
      <c r="O289" s="2"/>
      <c r="P289" s="60"/>
      <c r="Q289" s="60"/>
      <c r="R289" s="60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8" t="str">
        <f t="shared" si="21"/>
        <v>OBRA</v>
      </c>
      <c r="D290" s="58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9" t="str">
        <f>IF(H290="","",MID(VLOOKUP(H290,Codigo_Material!$A$2:$C$9999,2,0),1,30))</f>
        <v/>
      </c>
      <c r="J290" s="59"/>
      <c r="K290" s="53" t="str">
        <f>IF(H290="","",MID(VLOOKUP(H290,Codigo_Material!$A$2:$C$6426,3,0),1,25))</f>
        <v/>
      </c>
      <c r="L290" s="19"/>
      <c r="M290" s="20"/>
      <c r="N290" s="1"/>
      <c r="O290" s="2"/>
      <c r="P290" s="60"/>
      <c r="Q290" s="60"/>
      <c r="R290" s="60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8" t="str">
        <f t="shared" si="21"/>
        <v>OBRA</v>
      </c>
      <c r="D291" s="58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9" t="str">
        <f>IF(H291="","",MID(VLOOKUP(H291,Codigo_Material!$A$2:$C$9999,2,0),1,30))</f>
        <v/>
      </c>
      <c r="J291" s="59"/>
      <c r="K291" s="53" t="str">
        <f>IF(H291="","",MID(VLOOKUP(H291,Codigo_Material!$A$2:$C$6426,3,0),1,25))</f>
        <v/>
      </c>
      <c r="L291" s="19"/>
      <c r="M291" s="20"/>
      <c r="N291" s="1"/>
      <c r="O291" s="2"/>
      <c r="P291" s="60"/>
      <c r="Q291" s="60"/>
      <c r="R291" s="60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8" t="str">
        <f t="shared" si="21"/>
        <v>OBRA</v>
      </c>
      <c r="D292" s="58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9" t="str">
        <f>IF(H292="","",MID(VLOOKUP(H292,Codigo_Material!$A$2:$C$9999,2,0),1,30))</f>
        <v/>
      </c>
      <c r="J292" s="59"/>
      <c r="K292" s="53" t="str">
        <f>IF(H292="","",MID(VLOOKUP(H292,Codigo_Material!$A$2:$C$6426,3,0),1,25))</f>
        <v/>
      </c>
      <c r="L292" s="19"/>
      <c r="M292" s="20"/>
      <c r="N292" s="1"/>
      <c r="O292" s="2"/>
      <c r="P292" s="60"/>
      <c r="Q292" s="60"/>
      <c r="R292" s="60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8" t="str">
        <f t="shared" si="21"/>
        <v>OBRA</v>
      </c>
      <c r="D293" s="58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9" t="str">
        <f>IF(H293="","",MID(VLOOKUP(H293,Codigo_Material!$A$2:$C$9999,2,0),1,30))</f>
        <v/>
      </c>
      <c r="J293" s="59"/>
      <c r="K293" s="53" t="str">
        <f>IF(H293="","",MID(VLOOKUP(H293,Codigo_Material!$A$2:$C$6426,3,0),1,25))</f>
        <v/>
      </c>
      <c r="L293" s="19"/>
      <c r="M293" s="20"/>
      <c r="N293" s="1"/>
      <c r="O293" s="2"/>
      <c r="P293" s="60"/>
      <c r="Q293" s="60"/>
      <c r="R293" s="60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8" t="str">
        <f t="shared" si="21"/>
        <v>OBRA</v>
      </c>
      <c r="D294" s="58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9" t="str">
        <f>IF(H294="","",MID(VLOOKUP(H294,Codigo_Material!$A$2:$C$9999,2,0),1,30))</f>
        <v/>
      </c>
      <c r="J294" s="59"/>
      <c r="K294" s="53" t="str">
        <f>IF(H294="","",MID(VLOOKUP(H294,Codigo_Material!$A$2:$C$6426,3,0),1,25))</f>
        <v/>
      </c>
      <c r="L294" s="19"/>
      <c r="M294" s="20"/>
      <c r="N294" s="1"/>
      <c r="O294" s="2"/>
      <c r="P294" s="60"/>
      <c r="Q294" s="60"/>
      <c r="R294" s="60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8" t="str">
        <f t="shared" si="21"/>
        <v>OBRA</v>
      </c>
      <c r="D295" s="58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9" t="str">
        <f>IF(H295="","",MID(VLOOKUP(H295,Codigo_Material!$A$2:$C$9999,2,0),1,30))</f>
        <v/>
      </c>
      <c r="J295" s="59"/>
      <c r="K295" s="53" t="str">
        <f>IF(H295="","",MID(VLOOKUP(H295,Codigo_Material!$A$2:$C$6426,3,0),1,25))</f>
        <v/>
      </c>
      <c r="L295" s="19"/>
      <c r="M295" s="20"/>
      <c r="N295" s="1"/>
      <c r="O295" s="2"/>
      <c r="P295" s="60"/>
      <c r="Q295" s="60"/>
      <c r="R295" s="60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8" t="str">
        <f t="shared" si="21"/>
        <v>OBRA</v>
      </c>
      <c r="D296" s="58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9" t="str">
        <f>IF(H296="","",MID(VLOOKUP(H296,Codigo_Material!$A$2:$C$9999,2,0),1,30))</f>
        <v/>
      </c>
      <c r="J296" s="59"/>
      <c r="K296" s="53" t="str">
        <f>IF(H296="","",MID(VLOOKUP(H296,Codigo_Material!$A$2:$C$6426,3,0),1,25))</f>
        <v/>
      </c>
      <c r="L296" s="19"/>
      <c r="M296" s="20"/>
      <c r="N296" s="1"/>
      <c r="O296" s="2"/>
      <c r="P296" s="60"/>
      <c r="Q296" s="60"/>
      <c r="R296" s="60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8" t="str">
        <f t="shared" si="21"/>
        <v>OBRA</v>
      </c>
      <c r="D297" s="58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9" t="str">
        <f>IF(H297="","",MID(VLOOKUP(H297,Codigo_Material!$A$2:$C$9999,2,0),1,30))</f>
        <v/>
      </c>
      <c r="J297" s="59"/>
      <c r="K297" s="53" t="str">
        <f>IF(H297="","",MID(VLOOKUP(H297,Codigo_Material!$A$2:$C$6426,3,0),1,25))</f>
        <v/>
      </c>
      <c r="L297" s="19"/>
      <c r="M297" s="20"/>
      <c r="N297" s="1"/>
      <c r="O297" s="2"/>
      <c r="P297" s="60"/>
      <c r="Q297" s="60"/>
      <c r="R297" s="60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8" t="str">
        <f t="shared" si="21"/>
        <v>OBRA</v>
      </c>
      <c r="D298" s="58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9" t="str">
        <f>IF(H298="","",MID(VLOOKUP(H298,Codigo_Material!$A$2:$C$9999,2,0),1,30))</f>
        <v/>
      </c>
      <c r="J298" s="59"/>
      <c r="K298" s="53" t="str">
        <f>IF(H298="","",MID(VLOOKUP(H298,Codigo_Material!$A$2:$C$6426,3,0),1,25))</f>
        <v/>
      </c>
      <c r="L298" s="19"/>
      <c r="M298" s="20"/>
      <c r="N298" s="1"/>
      <c r="O298" s="2"/>
      <c r="P298" s="60"/>
      <c r="Q298" s="60"/>
      <c r="R298" s="60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8" t="str">
        <f t="shared" si="21"/>
        <v>OBRA</v>
      </c>
      <c r="D299" s="58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9" t="str">
        <f>IF(H299="","",MID(VLOOKUP(H299,Codigo_Material!$A$2:$C$9999,2,0),1,30))</f>
        <v/>
      </c>
      <c r="J299" s="59"/>
      <c r="K299" s="53" t="str">
        <f>IF(H299="","",MID(VLOOKUP(H299,Codigo_Material!$A$2:$C$6426,3,0),1,25))</f>
        <v/>
      </c>
      <c r="L299" s="19"/>
      <c r="M299" s="20"/>
      <c r="N299" s="1"/>
      <c r="O299" s="2"/>
      <c r="P299" s="60"/>
      <c r="Q299" s="60"/>
      <c r="R299" s="60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8" t="str">
        <f t="shared" si="21"/>
        <v>OBRA</v>
      </c>
      <c r="D300" s="58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9" t="str">
        <f>IF(H300="","",MID(VLOOKUP(H300,Codigo_Material!$A$2:$C$9999,2,0),1,30))</f>
        <v/>
      </c>
      <c r="J300" s="59"/>
      <c r="K300" s="53" t="str">
        <f>IF(H300="","",MID(VLOOKUP(H300,Codigo_Material!$A$2:$C$6426,3,0),1,25))</f>
        <v/>
      </c>
      <c r="L300" s="19"/>
      <c r="M300" s="20"/>
      <c r="N300" s="1"/>
      <c r="O300" s="2"/>
      <c r="P300" s="60"/>
      <c r="Q300" s="60"/>
      <c r="R300" s="60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8" t="str">
        <f t="shared" si="21"/>
        <v>OBRA</v>
      </c>
      <c r="D301" s="58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9" t="str">
        <f>IF(H301="","",MID(VLOOKUP(H301,Codigo_Material!$A$2:$C$9999,2,0),1,30))</f>
        <v/>
      </c>
      <c r="J301" s="59"/>
      <c r="K301" s="53" t="str">
        <f>IF(H301="","",MID(VLOOKUP(H301,Codigo_Material!$A$2:$C$6426,3,0),1,25))</f>
        <v/>
      </c>
      <c r="L301" s="19"/>
      <c r="M301" s="20"/>
      <c r="N301" s="1"/>
      <c r="O301" s="2"/>
      <c r="P301" s="60"/>
      <c r="Q301" s="60"/>
      <c r="R301" s="60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8" t="str">
        <f t="shared" si="21"/>
        <v>OBRA</v>
      </c>
      <c r="D302" s="58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9" t="str">
        <f>IF(H302="","",MID(VLOOKUP(H302,Codigo_Material!$A$2:$C$9999,2,0),1,30))</f>
        <v/>
      </c>
      <c r="J302" s="59"/>
      <c r="K302" s="53" t="str">
        <f>IF(H302="","",MID(VLOOKUP(H302,Codigo_Material!$A$2:$C$6426,3,0),1,25))</f>
        <v/>
      </c>
      <c r="L302" s="19"/>
      <c r="M302" s="20"/>
      <c r="N302" s="1"/>
      <c r="O302" s="2"/>
      <c r="P302" s="60"/>
      <c r="Q302" s="60"/>
      <c r="R302" s="60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8" t="str">
        <f t="shared" si="21"/>
        <v>OBRA</v>
      </c>
      <c r="D303" s="58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9" t="str">
        <f>IF(H303="","",MID(VLOOKUP(H303,Codigo_Material!$A$2:$C$9999,2,0),1,30))</f>
        <v/>
      </c>
      <c r="J303" s="59"/>
      <c r="K303" s="53" t="str">
        <f>IF(H303="","",MID(VLOOKUP(H303,Codigo_Material!$A$2:$C$6426,3,0),1,25))</f>
        <v/>
      </c>
      <c r="L303" s="19"/>
      <c r="M303" s="20"/>
      <c r="N303" s="1"/>
      <c r="O303" s="2"/>
      <c r="P303" s="60"/>
      <c r="Q303" s="60"/>
      <c r="R303" s="60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8" t="str">
        <f t="shared" si="21"/>
        <v>OBRA</v>
      </c>
      <c r="D304" s="58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9" t="str">
        <f>IF(H304="","",MID(VLOOKUP(H304,Codigo_Material!$A$2:$C$9999,2,0),1,30))</f>
        <v/>
      </c>
      <c r="J304" s="59"/>
      <c r="K304" s="53" t="str">
        <f>IF(H304="","",MID(VLOOKUP(H304,Codigo_Material!$A$2:$C$6426,3,0),1,25))</f>
        <v/>
      </c>
      <c r="L304" s="19"/>
      <c r="M304" s="20"/>
      <c r="N304" s="1"/>
      <c r="O304" s="2"/>
      <c r="P304" s="60"/>
      <c r="Q304" s="60"/>
      <c r="R304" s="60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8" t="str">
        <f t="shared" si="21"/>
        <v>OBRA</v>
      </c>
      <c r="D305" s="58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9" t="str">
        <f>IF(H305="","",MID(VLOOKUP(H305,Codigo_Material!$A$2:$C$9999,2,0),1,30))</f>
        <v/>
      </c>
      <c r="J305" s="59"/>
      <c r="K305" s="53" t="str">
        <f>IF(H305="","",MID(VLOOKUP(H305,Codigo_Material!$A$2:$C$6426,3,0),1,25))</f>
        <v/>
      </c>
      <c r="L305" s="19"/>
      <c r="M305" s="20"/>
      <c r="N305" s="1"/>
      <c r="O305" s="2"/>
      <c r="P305" s="60"/>
      <c r="Q305" s="60"/>
      <c r="R305" s="60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8" t="str">
        <f t="shared" si="21"/>
        <v>OBRA</v>
      </c>
      <c r="D306" s="58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9" t="str">
        <f>IF(H306="","",MID(VLOOKUP(H306,Codigo_Material!$A$2:$C$9999,2,0),1,30))</f>
        <v/>
      </c>
      <c r="J306" s="59"/>
      <c r="K306" s="53" t="str">
        <f>IF(H306="","",MID(VLOOKUP(H306,Codigo_Material!$A$2:$C$6426,3,0),1,25))</f>
        <v/>
      </c>
      <c r="L306" s="19"/>
      <c r="M306" s="20"/>
      <c r="N306" s="1"/>
      <c r="O306" s="2"/>
      <c r="P306" s="60"/>
      <c r="Q306" s="60"/>
      <c r="R306" s="60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8" t="str">
        <f t="shared" si="21"/>
        <v>OBRA</v>
      </c>
      <c r="D307" s="58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9" t="str">
        <f>IF(H307="","",MID(VLOOKUP(H307,Codigo_Material!$A$2:$C$9999,2,0),1,30))</f>
        <v/>
      </c>
      <c r="J307" s="59"/>
      <c r="K307" s="53" t="str">
        <f>IF(H307="","",MID(VLOOKUP(H307,Codigo_Material!$A$2:$C$6426,3,0),1,25))</f>
        <v/>
      </c>
      <c r="L307" s="19"/>
      <c r="M307" s="20"/>
      <c r="N307" s="1"/>
      <c r="O307" s="2"/>
      <c r="P307" s="60"/>
      <c r="Q307" s="60"/>
      <c r="R307" s="60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8" t="str">
        <f t="shared" si="21"/>
        <v>OBRA</v>
      </c>
      <c r="D308" s="58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9" t="str">
        <f>IF(H308="","",MID(VLOOKUP(H308,Codigo_Material!$A$2:$C$9999,2,0),1,30))</f>
        <v/>
      </c>
      <c r="J308" s="59"/>
      <c r="K308" s="53" t="str">
        <f>IF(H308="","",MID(VLOOKUP(H308,Codigo_Material!$A$2:$C$6426,3,0),1,25))</f>
        <v/>
      </c>
      <c r="L308" s="19"/>
      <c r="M308" s="20"/>
      <c r="N308" s="1"/>
      <c r="O308" s="2"/>
      <c r="P308" s="60"/>
      <c r="Q308" s="60"/>
      <c r="R308" s="60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8" t="str">
        <f t="shared" si="21"/>
        <v>OBRA</v>
      </c>
      <c r="D309" s="58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9" t="str">
        <f>IF(H309="","",MID(VLOOKUP(H309,Codigo_Material!$A$2:$C$9999,2,0),1,30))</f>
        <v/>
      </c>
      <c r="J309" s="59"/>
      <c r="K309" s="53" t="str">
        <f>IF(H309="","",MID(VLOOKUP(H309,Codigo_Material!$A$2:$C$6426,3,0),1,25))</f>
        <v/>
      </c>
      <c r="L309" s="19"/>
      <c r="M309" s="20"/>
      <c r="N309" s="1"/>
      <c r="O309" s="2"/>
      <c r="P309" s="60"/>
      <c r="Q309" s="60"/>
      <c r="R309" s="60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8" t="str">
        <f t="shared" si="21"/>
        <v>OBRA</v>
      </c>
      <c r="D310" s="58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9" t="str">
        <f>IF(H310="","",MID(VLOOKUP(H310,Codigo_Material!$A$2:$C$9999,2,0),1,30))</f>
        <v/>
      </c>
      <c r="J310" s="59"/>
      <c r="K310" s="53" t="str">
        <f>IF(H310="","",MID(VLOOKUP(H310,Codigo_Material!$A$2:$C$6426,3,0),1,25))</f>
        <v/>
      </c>
      <c r="L310" s="19"/>
      <c r="M310" s="20"/>
      <c r="N310" s="1"/>
      <c r="O310" s="2"/>
      <c r="P310" s="60"/>
      <c r="Q310" s="60"/>
      <c r="R310" s="60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8" t="str">
        <f t="shared" si="21"/>
        <v>OBRA</v>
      </c>
      <c r="D311" s="58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9" t="str">
        <f>IF(H311="","",MID(VLOOKUP(H311,Codigo_Material!$A$2:$C$9999,2,0),1,30))</f>
        <v/>
      </c>
      <c r="J311" s="59"/>
      <c r="K311" s="53" t="str">
        <f>IF(H311="","",MID(VLOOKUP(H311,Codigo_Material!$A$2:$C$6426,3,0),1,25))</f>
        <v/>
      </c>
      <c r="L311" s="19"/>
      <c r="M311" s="20"/>
      <c r="N311" s="1"/>
      <c r="O311" s="2"/>
      <c r="P311" s="60"/>
      <c r="Q311" s="60"/>
      <c r="R311" s="60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8" t="str">
        <f t="shared" si="21"/>
        <v>OBRA</v>
      </c>
      <c r="D312" s="58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9" t="str">
        <f>IF(H312="","",MID(VLOOKUP(H312,Codigo_Material!$A$2:$C$9999,2,0),1,30))</f>
        <v/>
      </c>
      <c r="J312" s="59"/>
      <c r="K312" s="53" t="str">
        <f>IF(H312="","",MID(VLOOKUP(H312,Codigo_Material!$A$2:$C$6426,3,0),1,25))</f>
        <v/>
      </c>
      <c r="L312" s="19"/>
      <c r="M312" s="20"/>
      <c r="N312" s="1"/>
      <c r="O312" s="2"/>
      <c r="P312" s="60"/>
      <c r="Q312" s="60"/>
      <c r="R312" s="60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8" t="str">
        <f t="shared" si="21"/>
        <v>OBRA</v>
      </c>
      <c r="D313" s="58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9" t="str">
        <f>IF(H313="","",MID(VLOOKUP(H313,Codigo_Material!$A$2:$C$9999,2,0),1,30))</f>
        <v/>
      </c>
      <c r="J313" s="59"/>
      <c r="K313" s="53" t="str">
        <f>IF(H313="","",MID(VLOOKUP(H313,Codigo_Material!$A$2:$C$6426,3,0),1,25))</f>
        <v/>
      </c>
      <c r="L313" s="19"/>
      <c r="M313" s="20"/>
      <c r="N313" s="1"/>
      <c r="O313" s="2"/>
      <c r="P313" s="60"/>
      <c r="Q313" s="60"/>
      <c r="R313" s="60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8" t="str">
        <f t="shared" si="21"/>
        <v>OBRA</v>
      </c>
      <c r="D314" s="58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9" t="str">
        <f>IF(H314="","",MID(VLOOKUP(H314,Codigo_Material!$A$2:$C$9999,2,0),1,30))</f>
        <v/>
      </c>
      <c r="J314" s="59"/>
      <c r="K314" s="53" t="str">
        <f>IF(H314="","",MID(VLOOKUP(H314,Codigo_Material!$A$2:$C$6426,3,0),1,25))</f>
        <v/>
      </c>
      <c r="L314" s="19"/>
      <c r="M314" s="20"/>
      <c r="N314" s="1"/>
      <c r="O314" s="2"/>
      <c r="P314" s="60"/>
      <c r="Q314" s="60"/>
      <c r="R314" s="60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8" t="str">
        <f t="shared" si="21"/>
        <v>OBRA</v>
      </c>
      <c r="D315" s="58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9" t="str">
        <f>IF(H315="","",MID(VLOOKUP(H315,Codigo_Material!$A$2:$C$9999,2,0),1,30))</f>
        <v/>
      </c>
      <c r="J315" s="59"/>
      <c r="K315" s="53" t="str">
        <f>IF(H315="","",MID(VLOOKUP(H315,Codigo_Material!$A$2:$C$6426,3,0),1,25))</f>
        <v/>
      </c>
      <c r="L315" s="19"/>
      <c r="M315" s="20"/>
      <c r="N315" s="1"/>
      <c r="O315" s="2"/>
      <c r="P315" s="60"/>
      <c r="Q315" s="60"/>
      <c r="R315" s="60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8" t="str">
        <f t="shared" si="21"/>
        <v>OBRA</v>
      </c>
      <c r="D316" s="58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9" t="str">
        <f>IF(H316="","",MID(VLOOKUP(H316,Codigo_Material!$A$2:$C$9999,2,0),1,30))</f>
        <v/>
      </c>
      <c r="J316" s="59"/>
      <c r="K316" s="53" t="str">
        <f>IF(H316="","",MID(VLOOKUP(H316,Codigo_Material!$A$2:$C$6426,3,0),1,25))</f>
        <v/>
      </c>
      <c r="L316" s="19"/>
      <c r="M316" s="20"/>
      <c r="N316" s="1"/>
      <c r="O316" s="2"/>
      <c r="P316" s="60"/>
      <c r="Q316" s="60"/>
      <c r="R316" s="60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8" t="str">
        <f t="shared" si="21"/>
        <v>OBRA</v>
      </c>
      <c r="D317" s="58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9" t="str">
        <f>IF(H317="","",MID(VLOOKUP(H317,Codigo_Material!$A$2:$C$9999,2,0),1,30))</f>
        <v/>
      </c>
      <c r="J317" s="59"/>
      <c r="K317" s="53" t="str">
        <f>IF(H317="","",MID(VLOOKUP(H317,Codigo_Material!$A$2:$C$6426,3,0),1,25))</f>
        <v/>
      </c>
      <c r="L317" s="19"/>
      <c r="M317" s="20"/>
      <c r="N317" s="1"/>
      <c r="O317" s="2"/>
      <c r="P317" s="60"/>
      <c r="Q317" s="60"/>
      <c r="R317" s="60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8" t="str">
        <f t="shared" si="21"/>
        <v>OBRA</v>
      </c>
      <c r="D318" s="58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9" t="str">
        <f>IF(H318="","",MID(VLOOKUP(H318,Codigo_Material!$A$2:$C$9999,2,0),1,30))</f>
        <v/>
      </c>
      <c r="J318" s="59"/>
      <c r="K318" s="53" t="str">
        <f>IF(H318="","",MID(VLOOKUP(H318,Codigo_Material!$A$2:$C$6426,3,0),1,25))</f>
        <v/>
      </c>
      <c r="L318" s="19"/>
      <c r="M318" s="20"/>
      <c r="N318" s="1"/>
      <c r="O318" s="2"/>
      <c r="P318" s="60"/>
      <c r="Q318" s="60"/>
      <c r="R318" s="60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8" t="str">
        <f t="shared" si="21"/>
        <v>OBRA</v>
      </c>
      <c r="D319" s="58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9" t="str">
        <f>IF(H319="","",MID(VLOOKUP(H319,Codigo_Material!$A$2:$C$9999,2,0),1,30))</f>
        <v/>
      </c>
      <c r="J319" s="59"/>
      <c r="K319" s="53" t="str">
        <f>IF(H319="","",MID(VLOOKUP(H319,Codigo_Material!$A$2:$C$6426,3,0),1,25))</f>
        <v/>
      </c>
      <c r="L319" s="19"/>
      <c r="M319" s="20"/>
      <c r="N319" s="1"/>
      <c r="O319" s="2"/>
      <c r="P319" s="60"/>
      <c r="Q319" s="60"/>
      <c r="R319" s="60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8" t="str">
        <f t="shared" si="21"/>
        <v>OBRA</v>
      </c>
      <c r="D320" s="58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9" t="str">
        <f>IF(H320="","",MID(VLOOKUP(H320,Codigo_Material!$A$2:$C$9999,2,0),1,30))</f>
        <v/>
      </c>
      <c r="J320" s="59"/>
      <c r="K320" s="53" t="str">
        <f>IF(H320="","",MID(VLOOKUP(H320,Codigo_Material!$A$2:$C$6426,3,0),1,25))</f>
        <v/>
      </c>
      <c r="L320" s="19"/>
      <c r="M320" s="20"/>
      <c r="N320" s="1"/>
      <c r="O320" s="2"/>
      <c r="P320" s="60"/>
      <c r="Q320" s="60"/>
      <c r="R320" s="60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8" t="str">
        <f t="shared" si="21"/>
        <v>OBRA</v>
      </c>
      <c r="D321" s="58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9" t="str">
        <f>IF(H321="","",MID(VLOOKUP(H321,Codigo_Material!$A$2:$C$9999,2,0),1,30))</f>
        <v/>
      </c>
      <c r="J321" s="59"/>
      <c r="K321" s="53" t="str">
        <f>IF(H321="","",MID(VLOOKUP(H321,Codigo_Material!$A$2:$C$6426,3,0),1,25))</f>
        <v/>
      </c>
      <c r="L321" s="19"/>
      <c r="M321" s="20"/>
      <c r="N321" s="1"/>
      <c r="O321" s="2"/>
      <c r="P321" s="60"/>
      <c r="Q321" s="60"/>
      <c r="R321" s="60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8" t="str">
        <f t="shared" si="21"/>
        <v>OBRA</v>
      </c>
      <c r="D322" s="58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9" t="str">
        <f>IF(H322="","",MID(VLOOKUP(H322,Codigo_Material!$A$2:$C$9999,2,0),1,30))</f>
        <v/>
      </c>
      <c r="J322" s="59"/>
      <c r="K322" s="53" t="str">
        <f>IF(H322="","",MID(VLOOKUP(H322,Codigo_Material!$A$2:$C$6426,3,0),1,25))</f>
        <v/>
      </c>
      <c r="L322" s="19"/>
      <c r="M322" s="20"/>
      <c r="N322" s="1"/>
      <c r="O322" s="2"/>
      <c r="P322" s="60"/>
      <c r="Q322" s="60"/>
      <c r="R322" s="60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8" t="str">
        <f t="shared" si="21"/>
        <v>OBRA</v>
      </c>
      <c r="D323" s="58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9" t="str">
        <f>IF(H323="","",MID(VLOOKUP(H323,Codigo_Material!$A$2:$C$9999,2,0),1,30))</f>
        <v/>
      </c>
      <c r="J323" s="59"/>
      <c r="K323" s="53" t="str">
        <f>IF(H323="","",MID(VLOOKUP(H323,Codigo_Material!$A$2:$C$6426,3,0),1,25))</f>
        <v/>
      </c>
      <c r="L323" s="19"/>
      <c r="M323" s="20"/>
      <c r="N323" s="1"/>
      <c r="O323" s="2"/>
      <c r="P323" s="60"/>
      <c r="Q323" s="60"/>
      <c r="R323" s="60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8" t="str">
        <f t="shared" si="21"/>
        <v>OBRA</v>
      </c>
      <c r="D324" s="58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9" t="str">
        <f>IF(H324="","",MID(VLOOKUP(H324,Codigo_Material!$A$2:$C$9999,2,0),1,30))</f>
        <v/>
      </c>
      <c r="J324" s="59"/>
      <c r="K324" s="53" t="str">
        <f>IF(H324="","",MID(VLOOKUP(H324,Codigo_Material!$A$2:$C$6426,3,0),1,25))</f>
        <v/>
      </c>
      <c r="L324" s="19"/>
      <c r="M324" s="20"/>
      <c r="N324" s="1"/>
      <c r="O324" s="2"/>
      <c r="P324" s="60"/>
      <c r="Q324" s="60"/>
      <c r="R324" s="60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8" t="str">
        <f t="shared" si="21"/>
        <v>OBRA</v>
      </c>
      <c r="D325" s="58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9" t="str">
        <f>IF(H325="","",MID(VLOOKUP(H325,Codigo_Material!$A$2:$C$9999,2,0),1,30))</f>
        <v/>
      </c>
      <c r="J325" s="59"/>
      <c r="K325" s="53" t="str">
        <f>IF(H325="","",MID(VLOOKUP(H325,Codigo_Material!$A$2:$C$6426,3,0),1,25))</f>
        <v/>
      </c>
      <c r="L325" s="19"/>
      <c r="M325" s="20"/>
      <c r="N325" s="1"/>
      <c r="O325" s="2"/>
      <c r="P325" s="60"/>
      <c r="Q325" s="60"/>
      <c r="R325" s="60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8" t="str">
        <f t="shared" si="21"/>
        <v>OBRA</v>
      </c>
      <c r="D326" s="58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9" t="str">
        <f>IF(H326="","",MID(VLOOKUP(H326,Codigo_Material!$A$2:$C$9999,2,0),1,30))</f>
        <v/>
      </c>
      <c r="J326" s="59"/>
      <c r="K326" s="53" t="str">
        <f>IF(H326="","",MID(VLOOKUP(H326,Codigo_Material!$A$2:$C$6426,3,0),1,25))</f>
        <v/>
      </c>
      <c r="L326" s="19"/>
      <c r="M326" s="20"/>
      <c r="N326" s="1"/>
      <c r="O326" s="2"/>
      <c r="P326" s="60"/>
      <c r="Q326" s="60"/>
      <c r="R326" s="60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8" t="str">
        <f t="shared" si="21"/>
        <v>OBRA</v>
      </c>
      <c r="D327" s="58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9" t="str">
        <f>IF(H327="","",MID(VLOOKUP(H327,Codigo_Material!$A$2:$C$9999,2,0),1,30))</f>
        <v/>
      </c>
      <c r="J327" s="59"/>
      <c r="K327" s="53" t="str">
        <f>IF(H327="","",MID(VLOOKUP(H327,Codigo_Material!$A$2:$C$6426,3,0),1,25))</f>
        <v/>
      </c>
      <c r="L327" s="19"/>
      <c r="M327" s="20"/>
      <c r="N327" s="1"/>
      <c r="O327" s="2"/>
      <c r="P327" s="60"/>
      <c r="Q327" s="60"/>
      <c r="R327" s="60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8" t="str">
        <f t="shared" si="21"/>
        <v>OBRA</v>
      </c>
      <c r="D328" s="58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9" t="str">
        <f>IF(H328="","",MID(VLOOKUP(H328,Codigo_Material!$A$2:$C$9999,2,0),1,30))</f>
        <v/>
      </c>
      <c r="J328" s="59"/>
      <c r="K328" s="53" t="str">
        <f>IF(H328="","",MID(VLOOKUP(H328,Codigo_Material!$A$2:$C$6426,3,0),1,25))</f>
        <v/>
      </c>
      <c r="L328" s="19"/>
      <c r="M328" s="20"/>
      <c r="N328" s="1"/>
      <c r="O328" s="2"/>
      <c r="P328" s="60"/>
      <c r="Q328" s="60"/>
      <c r="R328" s="60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8" t="str">
        <f t="shared" si="21"/>
        <v>OBRA</v>
      </c>
      <c r="D329" s="58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9" t="str">
        <f>IF(H329="","",MID(VLOOKUP(H329,Codigo_Material!$A$2:$C$9999,2,0),1,30))</f>
        <v/>
      </c>
      <c r="J329" s="59"/>
      <c r="K329" s="53" t="str">
        <f>IF(H329="","",MID(VLOOKUP(H329,Codigo_Material!$A$2:$C$6426,3,0),1,25))</f>
        <v/>
      </c>
      <c r="L329" s="19"/>
      <c r="M329" s="20"/>
      <c r="N329" s="1"/>
      <c r="O329" s="2"/>
      <c r="P329" s="60"/>
      <c r="Q329" s="60"/>
      <c r="R329" s="60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8" t="str">
        <f t="shared" ref="C330:C393" si="26">IF($F$5="","",$F$5)</f>
        <v>OBRA</v>
      </c>
      <c r="D330" s="58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9" t="str">
        <f>IF(H330="","",MID(VLOOKUP(H330,Codigo_Material!$A$2:$C$9999,2,0),1,30))</f>
        <v/>
      </c>
      <c r="J330" s="59"/>
      <c r="K330" s="53" t="str">
        <f>IF(H330="","",MID(VLOOKUP(H330,Codigo_Material!$A$2:$C$6426,3,0),1,25))</f>
        <v/>
      </c>
      <c r="L330" s="19"/>
      <c r="M330" s="20"/>
      <c r="N330" s="1"/>
      <c r="O330" s="2"/>
      <c r="P330" s="60"/>
      <c r="Q330" s="60"/>
      <c r="R330" s="60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8" t="str">
        <f t="shared" si="26"/>
        <v>OBRA</v>
      </c>
      <c r="D331" s="58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9" t="str">
        <f>IF(H331="","",MID(VLOOKUP(H331,Codigo_Material!$A$2:$C$9999,2,0),1,30))</f>
        <v/>
      </c>
      <c r="J331" s="59"/>
      <c r="K331" s="53" t="str">
        <f>IF(H331="","",MID(VLOOKUP(H331,Codigo_Material!$A$2:$C$6426,3,0),1,25))</f>
        <v/>
      </c>
      <c r="L331" s="19"/>
      <c r="M331" s="20"/>
      <c r="N331" s="1"/>
      <c r="O331" s="2"/>
      <c r="P331" s="60"/>
      <c r="Q331" s="60"/>
      <c r="R331" s="60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8" t="str">
        <f t="shared" si="26"/>
        <v>OBRA</v>
      </c>
      <c r="D332" s="58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9" t="str">
        <f>IF(H332="","",MID(VLOOKUP(H332,Codigo_Material!$A$2:$C$9999,2,0),1,30))</f>
        <v/>
      </c>
      <c r="J332" s="59"/>
      <c r="K332" s="53" t="str">
        <f>IF(H332="","",MID(VLOOKUP(H332,Codigo_Material!$A$2:$C$6426,3,0),1,25))</f>
        <v/>
      </c>
      <c r="L332" s="19"/>
      <c r="M332" s="20"/>
      <c r="N332" s="1"/>
      <c r="O332" s="2"/>
      <c r="P332" s="60"/>
      <c r="Q332" s="60"/>
      <c r="R332" s="60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8" t="str">
        <f t="shared" si="26"/>
        <v>OBRA</v>
      </c>
      <c r="D333" s="58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9" t="str">
        <f>IF(H333="","",MID(VLOOKUP(H333,Codigo_Material!$A$2:$C$9999,2,0),1,30))</f>
        <v/>
      </c>
      <c r="J333" s="59"/>
      <c r="K333" s="53" t="str">
        <f>IF(H333="","",MID(VLOOKUP(H333,Codigo_Material!$A$2:$C$6426,3,0),1,25))</f>
        <v/>
      </c>
      <c r="L333" s="19"/>
      <c r="M333" s="20"/>
      <c r="N333" s="1"/>
      <c r="O333" s="2"/>
      <c r="P333" s="60"/>
      <c r="Q333" s="60"/>
      <c r="R333" s="60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8" t="str">
        <f t="shared" si="26"/>
        <v>OBRA</v>
      </c>
      <c r="D334" s="58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9" t="str">
        <f>IF(H334="","",MID(VLOOKUP(H334,Codigo_Material!$A$2:$C$9999,2,0),1,30))</f>
        <v/>
      </c>
      <c r="J334" s="59"/>
      <c r="K334" s="53" t="str">
        <f>IF(H334="","",MID(VLOOKUP(H334,Codigo_Material!$A$2:$C$6426,3,0),1,25))</f>
        <v/>
      </c>
      <c r="L334" s="19"/>
      <c r="M334" s="20"/>
      <c r="N334" s="1"/>
      <c r="O334" s="2"/>
      <c r="P334" s="60"/>
      <c r="Q334" s="60"/>
      <c r="R334" s="60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8" t="str">
        <f t="shared" si="26"/>
        <v>OBRA</v>
      </c>
      <c r="D335" s="58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9" t="str">
        <f>IF(H335="","",MID(VLOOKUP(H335,Codigo_Material!$A$2:$C$9999,2,0),1,30))</f>
        <v/>
      </c>
      <c r="J335" s="59"/>
      <c r="K335" s="53" t="str">
        <f>IF(H335="","",MID(VLOOKUP(H335,Codigo_Material!$A$2:$C$6426,3,0),1,25))</f>
        <v/>
      </c>
      <c r="L335" s="19"/>
      <c r="M335" s="20"/>
      <c r="N335" s="1"/>
      <c r="O335" s="2"/>
      <c r="P335" s="60"/>
      <c r="Q335" s="60"/>
      <c r="R335" s="60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8" t="str">
        <f t="shared" si="26"/>
        <v>OBRA</v>
      </c>
      <c r="D336" s="58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9" t="str">
        <f>IF(H336="","",MID(VLOOKUP(H336,Codigo_Material!$A$2:$C$9999,2,0),1,30))</f>
        <v/>
      </c>
      <c r="J336" s="59"/>
      <c r="K336" s="53" t="str">
        <f>IF(H336="","",MID(VLOOKUP(H336,Codigo_Material!$A$2:$C$6426,3,0),1,25))</f>
        <v/>
      </c>
      <c r="L336" s="19"/>
      <c r="M336" s="20"/>
      <c r="N336" s="1"/>
      <c r="O336" s="2"/>
      <c r="P336" s="60"/>
      <c r="Q336" s="60"/>
      <c r="R336" s="60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8" t="str">
        <f t="shared" si="26"/>
        <v>OBRA</v>
      </c>
      <c r="D337" s="58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9" t="str">
        <f>IF(H337="","",MID(VLOOKUP(H337,Codigo_Material!$A$2:$C$9999,2,0),1,30))</f>
        <v/>
      </c>
      <c r="J337" s="59"/>
      <c r="K337" s="53" t="str">
        <f>IF(H337="","",MID(VLOOKUP(H337,Codigo_Material!$A$2:$C$6426,3,0),1,25))</f>
        <v/>
      </c>
      <c r="L337" s="19"/>
      <c r="M337" s="20"/>
      <c r="N337" s="1"/>
      <c r="O337" s="2"/>
      <c r="P337" s="60"/>
      <c r="Q337" s="60"/>
      <c r="R337" s="60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8" t="str">
        <f t="shared" si="26"/>
        <v>OBRA</v>
      </c>
      <c r="D338" s="58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9" t="str">
        <f>IF(H338="","",MID(VLOOKUP(H338,Codigo_Material!$A$2:$C$9999,2,0),1,30))</f>
        <v/>
      </c>
      <c r="J338" s="59"/>
      <c r="K338" s="53" t="str">
        <f>IF(H338="","",MID(VLOOKUP(H338,Codigo_Material!$A$2:$C$6426,3,0),1,25))</f>
        <v/>
      </c>
      <c r="L338" s="19"/>
      <c r="M338" s="20"/>
      <c r="N338" s="1"/>
      <c r="O338" s="2"/>
      <c r="P338" s="60"/>
      <c r="Q338" s="60"/>
      <c r="R338" s="60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8" t="str">
        <f t="shared" si="26"/>
        <v>OBRA</v>
      </c>
      <c r="D339" s="58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9" t="str">
        <f>IF(H339="","",MID(VLOOKUP(H339,Codigo_Material!$A$2:$C$9999,2,0),1,30))</f>
        <v/>
      </c>
      <c r="J339" s="59"/>
      <c r="K339" s="53" t="str">
        <f>IF(H339="","",MID(VLOOKUP(H339,Codigo_Material!$A$2:$C$6426,3,0),1,25))</f>
        <v/>
      </c>
      <c r="L339" s="19"/>
      <c r="M339" s="20"/>
      <c r="N339" s="1"/>
      <c r="O339" s="2"/>
      <c r="P339" s="60"/>
      <c r="Q339" s="60"/>
      <c r="R339" s="60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8" t="str">
        <f t="shared" si="26"/>
        <v>OBRA</v>
      </c>
      <c r="D340" s="58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9" t="str">
        <f>IF(H340="","",MID(VLOOKUP(H340,Codigo_Material!$A$2:$C$9999,2,0),1,30))</f>
        <v/>
      </c>
      <c r="J340" s="59"/>
      <c r="K340" s="53" t="str">
        <f>IF(H340="","",MID(VLOOKUP(H340,Codigo_Material!$A$2:$C$6426,3,0),1,25))</f>
        <v/>
      </c>
      <c r="L340" s="19"/>
      <c r="M340" s="20"/>
      <c r="N340" s="1"/>
      <c r="O340" s="2"/>
      <c r="P340" s="60"/>
      <c r="Q340" s="60"/>
      <c r="R340" s="60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8" t="str">
        <f t="shared" si="26"/>
        <v>OBRA</v>
      </c>
      <c r="D341" s="58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9" t="str">
        <f>IF(H341="","",MID(VLOOKUP(H341,Codigo_Material!$A$2:$C$9999,2,0),1,30))</f>
        <v/>
      </c>
      <c r="J341" s="59"/>
      <c r="K341" s="53" t="str">
        <f>IF(H341="","",MID(VLOOKUP(H341,Codigo_Material!$A$2:$C$6426,3,0),1,25))</f>
        <v/>
      </c>
      <c r="L341" s="19"/>
      <c r="M341" s="20"/>
      <c r="N341" s="1"/>
      <c r="O341" s="2"/>
      <c r="P341" s="60"/>
      <c r="Q341" s="60"/>
      <c r="R341" s="60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8" t="str">
        <f t="shared" si="26"/>
        <v>OBRA</v>
      </c>
      <c r="D342" s="58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9" t="str">
        <f>IF(H342="","",MID(VLOOKUP(H342,Codigo_Material!$A$2:$C$9999,2,0),1,30))</f>
        <v/>
      </c>
      <c r="J342" s="59"/>
      <c r="K342" s="53" t="str">
        <f>IF(H342="","",MID(VLOOKUP(H342,Codigo_Material!$A$2:$C$6426,3,0),1,25))</f>
        <v/>
      </c>
      <c r="L342" s="19"/>
      <c r="M342" s="20"/>
      <c r="N342" s="1"/>
      <c r="O342" s="2"/>
      <c r="P342" s="60"/>
      <c r="Q342" s="60"/>
      <c r="R342" s="60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8" t="str">
        <f t="shared" si="26"/>
        <v>OBRA</v>
      </c>
      <c r="D343" s="58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9" t="str">
        <f>IF(H343="","",MID(VLOOKUP(H343,Codigo_Material!$A$2:$C$9999,2,0),1,30))</f>
        <v/>
      </c>
      <c r="J343" s="59"/>
      <c r="K343" s="53" t="str">
        <f>IF(H343="","",MID(VLOOKUP(H343,Codigo_Material!$A$2:$C$6426,3,0),1,25))</f>
        <v/>
      </c>
      <c r="L343" s="19"/>
      <c r="M343" s="20"/>
      <c r="N343" s="1"/>
      <c r="O343" s="2"/>
      <c r="P343" s="60"/>
      <c r="Q343" s="60"/>
      <c r="R343" s="60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8" t="str">
        <f t="shared" si="26"/>
        <v>OBRA</v>
      </c>
      <c r="D344" s="58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9" t="str">
        <f>IF(H344="","",MID(VLOOKUP(H344,Codigo_Material!$A$2:$C$9999,2,0),1,30))</f>
        <v/>
      </c>
      <c r="J344" s="59"/>
      <c r="K344" s="53" t="str">
        <f>IF(H344="","",MID(VLOOKUP(H344,Codigo_Material!$A$2:$C$6426,3,0),1,25))</f>
        <v/>
      </c>
      <c r="L344" s="19"/>
      <c r="M344" s="20"/>
      <c r="N344" s="1"/>
      <c r="O344" s="2"/>
      <c r="P344" s="60"/>
      <c r="Q344" s="60"/>
      <c r="R344" s="60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8" t="str">
        <f t="shared" si="26"/>
        <v>OBRA</v>
      </c>
      <c r="D345" s="58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9" t="str">
        <f>IF(H345="","",MID(VLOOKUP(H345,Codigo_Material!$A$2:$C$9999,2,0),1,30))</f>
        <v/>
      </c>
      <c r="J345" s="59"/>
      <c r="K345" s="53" t="str">
        <f>IF(H345="","",MID(VLOOKUP(H345,Codigo_Material!$A$2:$C$6426,3,0),1,25))</f>
        <v/>
      </c>
      <c r="L345" s="19"/>
      <c r="M345" s="20"/>
      <c r="N345" s="1"/>
      <c r="O345" s="2"/>
      <c r="P345" s="60"/>
      <c r="Q345" s="60"/>
      <c r="R345" s="60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8" t="str">
        <f t="shared" si="26"/>
        <v>OBRA</v>
      </c>
      <c r="D346" s="58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9" t="str">
        <f>IF(H346="","",MID(VLOOKUP(H346,Codigo_Material!$A$2:$C$9999,2,0),1,30))</f>
        <v/>
      </c>
      <c r="J346" s="59"/>
      <c r="K346" s="53" t="str">
        <f>IF(H346="","",MID(VLOOKUP(H346,Codigo_Material!$A$2:$C$6426,3,0),1,25))</f>
        <v/>
      </c>
      <c r="L346" s="19"/>
      <c r="M346" s="20"/>
      <c r="N346" s="1"/>
      <c r="O346" s="2"/>
      <c r="P346" s="60"/>
      <c r="Q346" s="60"/>
      <c r="R346" s="60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8" t="str">
        <f t="shared" si="26"/>
        <v>OBRA</v>
      </c>
      <c r="D347" s="58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9" t="str">
        <f>IF(H347="","",MID(VLOOKUP(H347,Codigo_Material!$A$2:$C$9999,2,0),1,30))</f>
        <v/>
      </c>
      <c r="J347" s="59"/>
      <c r="K347" s="53" t="str">
        <f>IF(H347="","",MID(VLOOKUP(H347,Codigo_Material!$A$2:$C$6426,3,0),1,25))</f>
        <v/>
      </c>
      <c r="L347" s="19"/>
      <c r="M347" s="20"/>
      <c r="N347" s="1"/>
      <c r="O347" s="2"/>
      <c r="P347" s="60"/>
      <c r="Q347" s="60"/>
      <c r="R347" s="60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8" t="str">
        <f t="shared" si="26"/>
        <v>OBRA</v>
      </c>
      <c r="D348" s="58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9" t="str">
        <f>IF(H348="","",MID(VLOOKUP(H348,Codigo_Material!$A$2:$C$9999,2,0),1,30))</f>
        <v/>
      </c>
      <c r="J348" s="59"/>
      <c r="K348" s="53" t="str">
        <f>IF(H348="","",MID(VLOOKUP(H348,Codigo_Material!$A$2:$C$6426,3,0),1,25))</f>
        <v/>
      </c>
      <c r="L348" s="19"/>
      <c r="M348" s="20"/>
      <c r="N348" s="1"/>
      <c r="O348" s="2"/>
      <c r="P348" s="60"/>
      <c r="Q348" s="60"/>
      <c r="R348" s="60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8" t="str">
        <f t="shared" si="26"/>
        <v>OBRA</v>
      </c>
      <c r="D349" s="58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9" t="str">
        <f>IF(H349="","",MID(VLOOKUP(H349,Codigo_Material!$A$2:$C$9999,2,0),1,30))</f>
        <v/>
      </c>
      <c r="J349" s="59"/>
      <c r="K349" s="53" t="str">
        <f>IF(H349="","",MID(VLOOKUP(H349,Codigo_Material!$A$2:$C$6426,3,0),1,25))</f>
        <v/>
      </c>
      <c r="L349" s="19"/>
      <c r="M349" s="20"/>
      <c r="N349" s="1"/>
      <c r="O349" s="2"/>
      <c r="P349" s="60"/>
      <c r="Q349" s="60"/>
      <c r="R349" s="60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8" t="str">
        <f t="shared" si="26"/>
        <v>OBRA</v>
      </c>
      <c r="D350" s="58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9" t="str">
        <f>IF(H350="","",MID(VLOOKUP(H350,Codigo_Material!$A$2:$C$9999,2,0),1,30))</f>
        <v/>
      </c>
      <c r="J350" s="59"/>
      <c r="K350" s="53" t="str">
        <f>IF(H350="","",MID(VLOOKUP(H350,Codigo_Material!$A$2:$C$6426,3,0),1,25))</f>
        <v/>
      </c>
      <c r="L350" s="19"/>
      <c r="M350" s="20"/>
      <c r="N350" s="1"/>
      <c r="O350" s="2"/>
      <c r="P350" s="60"/>
      <c r="Q350" s="60"/>
      <c r="R350" s="60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8" t="str">
        <f t="shared" si="26"/>
        <v>OBRA</v>
      </c>
      <c r="D351" s="58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9" t="str">
        <f>IF(H351="","",MID(VLOOKUP(H351,Codigo_Material!$A$2:$C$9999,2,0),1,30))</f>
        <v/>
      </c>
      <c r="J351" s="59"/>
      <c r="K351" s="53" t="str">
        <f>IF(H351="","",MID(VLOOKUP(H351,Codigo_Material!$A$2:$C$6426,3,0),1,25))</f>
        <v/>
      </c>
      <c r="L351" s="19"/>
      <c r="M351" s="20"/>
      <c r="N351" s="1"/>
      <c r="O351" s="2"/>
      <c r="P351" s="60"/>
      <c r="Q351" s="60"/>
      <c r="R351" s="60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8" t="str">
        <f t="shared" si="26"/>
        <v>OBRA</v>
      </c>
      <c r="D352" s="58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9" t="str">
        <f>IF(H352="","",MID(VLOOKUP(H352,Codigo_Material!$A$2:$C$9999,2,0),1,30))</f>
        <v/>
      </c>
      <c r="J352" s="59"/>
      <c r="K352" s="53" t="str">
        <f>IF(H352="","",MID(VLOOKUP(H352,Codigo_Material!$A$2:$C$6426,3,0),1,25))</f>
        <v/>
      </c>
      <c r="L352" s="19"/>
      <c r="M352" s="20"/>
      <c r="N352" s="1"/>
      <c r="O352" s="2"/>
      <c r="P352" s="60"/>
      <c r="Q352" s="60"/>
      <c r="R352" s="60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8" t="str">
        <f t="shared" si="26"/>
        <v>OBRA</v>
      </c>
      <c r="D353" s="58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9" t="str">
        <f>IF(H353="","",MID(VLOOKUP(H353,Codigo_Material!$A$2:$C$9999,2,0),1,30))</f>
        <v/>
      </c>
      <c r="J353" s="59"/>
      <c r="K353" s="53" t="str">
        <f>IF(H353="","",MID(VLOOKUP(H353,Codigo_Material!$A$2:$C$6426,3,0),1,25))</f>
        <v/>
      </c>
      <c r="L353" s="19"/>
      <c r="M353" s="20"/>
      <c r="N353" s="1"/>
      <c r="O353" s="2"/>
      <c r="P353" s="60"/>
      <c r="Q353" s="60"/>
      <c r="R353" s="60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8" t="str">
        <f t="shared" si="26"/>
        <v>OBRA</v>
      </c>
      <c r="D354" s="58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9" t="str">
        <f>IF(H354="","",MID(VLOOKUP(H354,Codigo_Material!$A$2:$C$9999,2,0),1,30))</f>
        <v/>
      </c>
      <c r="J354" s="59"/>
      <c r="K354" s="53" t="str">
        <f>IF(H354="","",MID(VLOOKUP(H354,Codigo_Material!$A$2:$C$6426,3,0),1,25))</f>
        <v/>
      </c>
      <c r="L354" s="19"/>
      <c r="M354" s="20"/>
      <c r="N354" s="1"/>
      <c r="O354" s="2"/>
      <c r="P354" s="60"/>
      <c r="Q354" s="60"/>
      <c r="R354" s="60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8" t="str">
        <f t="shared" si="26"/>
        <v>OBRA</v>
      </c>
      <c r="D355" s="58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9" t="str">
        <f>IF(H355="","",MID(VLOOKUP(H355,Codigo_Material!$A$2:$C$9999,2,0),1,30))</f>
        <v/>
      </c>
      <c r="J355" s="59"/>
      <c r="K355" s="53" t="str">
        <f>IF(H355="","",MID(VLOOKUP(H355,Codigo_Material!$A$2:$C$6426,3,0),1,25))</f>
        <v/>
      </c>
      <c r="L355" s="19"/>
      <c r="M355" s="20"/>
      <c r="N355" s="1"/>
      <c r="O355" s="2"/>
      <c r="P355" s="60"/>
      <c r="Q355" s="60"/>
      <c r="R355" s="60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8" t="str">
        <f t="shared" si="26"/>
        <v>OBRA</v>
      </c>
      <c r="D356" s="58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9" t="str">
        <f>IF(H356="","",MID(VLOOKUP(H356,Codigo_Material!$A$2:$C$9999,2,0),1,30))</f>
        <v/>
      </c>
      <c r="J356" s="59"/>
      <c r="K356" s="53" t="str">
        <f>IF(H356="","",MID(VLOOKUP(H356,Codigo_Material!$A$2:$C$6426,3,0),1,25))</f>
        <v/>
      </c>
      <c r="L356" s="19"/>
      <c r="M356" s="20"/>
      <c r="N356" s="1"/>
      <c r="O356" s="2"/>
      <c r="P356" s="60"/>
      <c r="Q356" s="60"/>
      <c r="R356" s="60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8" t="str">
        <f t="shared" si="26"/>
        <v>OBRA</v>
      </c>
      <c r="D357" s="58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9" t="str">
        <f>IF(H357="","",MID(VLOOKUP(H357,Codigo_Material!$A$2:$C$9999,2,0),1,30))</f>
        <v/>
      </c>
      <c r="J357" s="59"/>
      <c r="K357" s="53" t="str">
        <f>IF(H357="","",MID(VLOOKUP(H357,Codigo_Material!$A$2:$C$6426,3,0),1,25))</f>
        <v/>
      </c>
      <c r="L357" s="19"/>
      <c r="M357" s="20"/>
      <c r="N357" s="1"/>
      <c r="O357" s="2"/>
      <c r="P357" s="60"/>
      <c r="Q357" s="60"/>
      <c r="R357" s="60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8" t="str">
        <f t="shared" si="26"/>
        <v>OBRA</v>
      </c>
      <c r="D358" s="58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9" t="str">
        <f>IF(H358="","",MID(VLOOKUP(H358,Codigo_Material!$A$2:$C$9999,2,0),1,30))</f>
        <v/>
      </c>
      <c r="J358" s="59"/>
      <c r="K358" s="53" t="str">
        <f>IF(H358="","",MID(VLOOKUP(H358,Codigo_Material!$A$2:$C$6426,3,0),1,25))</f>
        <v/>
      </c>
      <c r="L358" s="19"/>
      <c r="M358" s="20"/>
      <c r="N358" s="1"/>
      <c r="O358" s="2"/>
      <c r="P358" s="60"/>
      <c r="Q358" s="60"/>
      <c r="R358" s="60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8" t="str">
        <f t="shared" si="26"/>
        <v>OBRA</v>
      </c>
      <c r="D359" s="58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9" t="str">
        <f>IF(H359="","",MID(VLOOKUP(H359,Codigo_Material!$A$2:$C$9999,2,0),1,30))</f>
        <v/>
      </c>
      <c r="J359" s="59"/>
      <c r="K359" s="53" t="str">
        <f>IF(H359="","",MID(VLOOKUP(H359,Codigo_Material!$A$2:$C$6426,3,0),1,25))</f>
        <v/>
      </c>
      <c r="L359" s="19"/>
      <c r="M359" s="20"/>
      <c r="N359" s="1"/>
      <c r="O359" s="2"/>
      <c r="P359" s="60"/>
      <c r="Q359" s="60"/>
      <c r="R359" s="60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8" t="str">
        <f t="shared" si="26"/>
        <v>OBRA</v>
      </c>
      <c r="D360" s="58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9" t="str">
        <f>IF(H360="","",MID(VLOOKUP(H360,Codigo_Material!$A$2:$C$9999,2,0),1,30))</f>
        <v/>
      </c>
      <c r="J360" s="59"/>
      <c r="K360" s="53" t="str">
        <f>IF(H360="","",MID(VLOOKUP(H360,Codigo_Material!$A$2:$C$6426,3,0),1,25))</f>
        <v/>
      </c>
      <c r="L360" s="19"/>
      <c r="M360" s="20"/>
      <c r="N360" s="1"/>
      <c r="O360" s="2"/>
      <c r="P360" s="60"/>
      <c r="Q360" s="60"/>
      <c r="R360" s="60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8" t="str">
        <f t="shared" si="26"/>
        <v>OBRA</v>
      </c>
      <c r="D361" s="58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9" t="str">
        <f>IF(H361="","",MID(VLOOKUP(H361,Codigo_Material!$A$2:$C$9999,2,0),1,30))</f>
        <v/>
      </c>
      <c r="J361" s="59"/>
      <c r="K361" s="53" t="str">
        <f>IF(H361="","",MID(VLOOKUP(H361,Codigo_Material!$A$2:$C$6426,3,0),1,25))</f>
        <v/>
      </c>
      <c r="L361" s="19"/>
      <c r="M361" s="20"/>
      <c r="N361" s="1"/>
      <c r="O361" s="2"/>
      <c r="P361" s="60"/>
      <c r="Q361" s="60"/>
      <c r="R361" s="60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8" t="str">
        <f t="shared" si="26"/>
        <v>OBRA</v>
      </c>
      <c r="D362" s="58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9" t="str">
        <f>IF(H362="","",MID(VLOOKUP(H362,Codigo_Material!$A$2:$C$9999,2,0),1,30))</f>
        <v/>
      </c>
      <c r="J362" s="59"/>
      <c r="K362" s="53" t="str">
        <f>IF(H362="","",MID(VLOOKUP(H362,Codigo_Material!$A$2:$C$6426,3,0),1,25))</f>
        <v/>
      </c>
      <c r="L362" s="19"/>
      <c r="M362" s="20"/>
      <c r="N362" s="1"/>
      <c r="O362" s="2"/>
      <c r="P362" s="60"/>
      <c r="Q362" s="60"/>
      <c r="R362" s="60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8" t="str">
        <f t="shared" si="26"/>
        <v>OBRA</v>
      </c>
      <c r="D363" s="58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9" t="str">
        <f>IF(H363="","",MID(VLOOKUP(H363,Codigo_Material!$A$2:$C$9999,2,0),1,30))</f>
        <v/>
      </c>
      <c r="J363" s="59"/>
      <c r="K363" s="53" t="str">
        <f>IF(H363="","",MID(VLOOKUP(H363,Codigo_Material!$A$2:$C$6426,3,0),1,25))</f>
        <v/>
      </c>
      <c r="L363" s="19"/>
      <c r="M363" s="20"/>
      <c r="N363" s="1"/>
      <c r="O363" s="2"/>
      <c r="P363" s="60"/>
      <c r="Q363" s="60"/>
      <c r="R363" s="60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8" t="str">
        <f t="shared" si="26"/>
        <v>OBRA</v>
      </c>
      <c r="D364" s="58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9" t="str">
        <f>IF(H364="","",MID(VLOOKUP(H364,Codigo_Material!$A$2:$C$9999,2,0),1,30))</f>
        <v/>
      </c>
      <c r="J364" s="59"/>
      <c r="K364" s="53" t="str">
        <f>IF(H364="","",MID(VLOOKUP(H364,Codigo_Material!$A$2:$C$6426,3,0),1,25))</f>
        <v/>
      </c>
      <c r="L364" s="19"/>
      <c r="M364" s="20"/>
      <c r="N364" s="1"/>
      <c r="O364" s="2"/>
      <c r="P364" s="60"/>
      <c r="Q364" s="60"/>
      <c r="R364" s="60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8" t="str">
        <f t="shared" si="26"/>
        <v>OBRA</v>
      </c>
      <c r="D365" s="58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9" t="str">
        <f>IF(H365="","",MID(VLOOKUP(H365,Codigo_Material!$A$2:$C$9999,2,0),1,30))</f>
        <v/>
      </c>
      <c r="J365" s="59"/>
      <c r="K365" s="53" t="str">
        <f>IF(H365="","",MID(VLOOKUP(H365,Codigo_Material!$A$2:$C$6426,3,0),1,25))</f>
        <v/>
      </c>
      <c r="L365" s="19"/>
      <c r="M365" s="20"/>
      <c r="N365" s="1"/>
      <c r="O365" s="2"/>
      <c r="P365" s="60"/>
      <c r="Q365" s="60"/>
      <c r="R365" s="60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8" t="str">
        <f t="shared" si="26"/>
        <v>OBRA</v>
      </c>
      <c r="D366" s="58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9" t="str">
        <f>IF(H366="","",MID(VLOOKUP(H366,Codigo_Material!$A$2:$C$9999,2,0),1,30))</f>
        <v/>
      </c>
      <c r="J366" s="59"/>
      <c r="K366" s="53" t="str">
        <f>IF(H366="","",MID(VLOOKUP(H366,Codigo_Material!$A$2:$C$6426,3,0),1,25))</f>
        <v/>
      </c>
      <c r="L366" s="19"/>
      <c r="M366" s="20"/>
      <c r="N366" s="1"/>
      <c r="O366" s="2"/>
      <c r="P366" s="60"/>
      <c r="Q366" s="60"/>
      <c r="R366" s="60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8" t="str">
        <f t="shared" si="26"/>
        <v>OBRA</v>
      </c>
      <c r="D367" s="58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9" t="str">
        <f>IF(H367="","",MID(VLOOKUP(H367,Codigo_Material!$A$2:$C$9999,2,0),1,30))</f>
        <v/>
      </c>
      <c r="J367" s="59"/>
      <c r="K367" s="53" t="str">
        <f>IF(H367="","",MID(VLOOKUP(H367,Codigo_Material!$A$2:$C$6426,3,0),1,25))</f>
        <v/>
      </c>
      <c r="L367" s="19"/>
      <c r="M367" s="20"/>
      <c r="N367" s="1"/>
      <c r="O367" s="2"/>
      <c r="P367" s="60"/>
      <c r="Q367" s="60"/>
      <c r="R367" s="60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8" t="str">
        <f t="shared" si="26"/>
        <v>OBRA</v>
      </c>
      <c r="D368" s="58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9" t="str">
        <f>IF(H368="","",MID(VLOOKUP(H368,Codigo_Material!$A$2:$C$9999,2,0),1,30))</f>
        <v/>
      </c>
      <c r="J368" s="59"/>
      <c r="K368" s="53" t="str">
        <f>IF(H368="","",MID(VLOOKUP(H368,Codigo_Material!$A$2:$C$6426,3,0),1,25))</f>
        <v/>
      </c>
      <c r="L368" s="19"/>
      <c r="M368" s="20"/>
      <c r="N368" s="1"/>
      <c r="O368" s="2"/>
      <c r="P368" s="60"/>
      <c r="Q368" s="60"/>
      <c r="R368" s="60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8" t="str">
        <f t="shared" si="26"/>
        <v>OBRA</v>
      </c>
      <c r="D369" s="58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9" t="str">
        <f>IF(H369="","",MID(VLOOKUP(H369,Codigo_Material!$A$2:$C$9999,2,0),1,30))</f>
        <v/>
      </c>
      <c r="J369" s="59"/>
      <c r="K369" s="53" t="str">
        <f>IF(H369="","",MID(VLOOKUP(H369,Codigo_Material!$A$2:$C$6426,3,0),1,25))</f>
        <v/>
      </c>
      <c r="L369" s="19"/>
      <c r="M369" s="20"/>
      <c r="N369" s="1"/>
      <c r="O369" s="2"/>
      <c r="P369" s="60"/>
      <c r="Q369" s="60"/>
      <c r="R369" s="60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8" t="str">
        <f t="shared" si="26"/>
        <v>OBRA</v>
      </c>
      <c r="D370" s="58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9" t="str">
        <f>IF(H370="","",MID(VLOOKUP(H370,Codigo_Material!$A$2:$C$9999,2,0),1,30))</f>
        <v/>
      </c>
      <c r="J370" s="59"/>
      <c r="K370" s="53" t="str">
        <f>IF(H370="","",MID(VLOOKUP(H370,Codigo_Material!$A$2:$C$6426,3,0),1,25))</f>
        <v/>
      </c>
      <c r="L370" s="19"/>
      <c r="M370" s="20"/>
      <c r="N370" s="1"/>
      <c r="O370" s="2"/>
      <c r="P370" s="60"/>
      <c r="Q370" s="60"/>
      <c r="R370" s="60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8" t="str">
        <f t="shared" si="26"/>
        <v>OBRA</v>
      </c>
      <c r="D371" s="58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9" t="str">
        <f>IF(H371="","",MID(VLOOKUP(H371,Codigo_Material!$A$2:$C$9999,2,0),1,30))</f>
        <v/>
      </c>
      <c r="J371" s="59"/>
      <c r="K371" s="53" t="str">
        <f>IF(H371="","",MID(VLOOKUP(H371,Codigo_Material!$A$2:$C$6426,3,0),1,25))</f>
        <v/>
      </c>
      <c r="L371" s="19"/>
      <c r="M371" s="20"/>
      <c r="N371" s="1"/>
      <c r="O371" s="2"/>
      <c r="P371" s="60"/>
      <c r="Q371" s="60"/>
      <c r="R371" s="60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8" t="str">
        <f t="shared" si="26"/>
        <v>OBRA</v>
      </c>
      <c r="D372" s="58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9" t="str">
        <f>IF(H372="","",MID(VLOOKUP(H372,Codigo_Material!$A$2:$C$9999,2,0),1,30))</f>
        <v/>
      </c>
      <c r="J372" s="59"/>
      <c r="K372" s="53" t="str">
        <f>IF(H372="","",MID(VLOOKUP(H372,Codigo_Material!$A$2:$C$6426,3,0),1,25))</f>
        <v/>
      </c>
      <c r="L372" s="19"/>
      <c r="M372" s="20"/>
      <c r="N372" s="1"/>
      <c r="O372" s="2"/>
      <c r="P372" s="60"/>
      <c r="Q372" s="60"/>
      <c r="R372" s="60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8" t="str">
        <f t="shared" si="26"/>
        <v>OBRA</v>
      </c>
      <c r="D373" s="58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9" t="str">
        <f>IF(H373="","",MID(VLOOKUP(H373,Codigo_Material!$A$2:$C$9999,2,0),1,30))</f>
        <v/>
      </c>
      <c r="J373" s="59"/>
      <c r="K373" s="53" t="str">
        <f>IF(H373="","",MID(VLOOKUP(H373,Codigo_Material!$A$2:$C$6426,3,0),1,25))</f>
        <v/>
      </c>
      <c r="L373" s="19"/>
      <c r="M373" s="20"/>
      <c r="N373" s="1"/>
      <c r="O373" s="2"/>
      <c r="P373" s="60"/>
      <c r="Q373" s="60"/>
      <c r="R373" s="60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8" t="str">
        <f t="shared" si="26"/>
        <v>OBRA</v>
      </c>
      <c r="D374" s="58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9" t="str">
        <f>IF(H374="","",MID(VLOOKUP(H374,Codigo_Material!$A$2:$C$9999,2,0),1,30))</f>
        <v/>
      </c>
      <c r="J374" s="59"/>
      <c r="K374" s="53" t="str">
        <f>IF(H374="","",MID(VLOOKUP(H374,Codigo_Material!$A$2:$C$6426,3,0),1,25))</f>
        <v/>
      </c>
      <c r="L374" s="19"/>
      <c r="M374" s="20"/>
      <c r="N374" s="1"/>
      <c r="O374" s="2"/>
      <c r="P374" s="60"/>
      <c r="Q374" s="60"/>
      <c r="R374" s="60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8" t="str">
        <f t="shared" si="26"/>
        <v>OBRA</v>
      </c>
      <c r="D375" s="58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9" t="str">
        <f>IF(H375="","",MID(VLOOKUP(H375,Codigo_Material!$A$2:$C$9999,2,0),1,30))</f>
        <v/>
      </c>
      <c r="J375" s="59"/>
      <c r="K375" s="53" t="str">
        <f>IF(H375="","",MID(VLOOKUP(H375,Codigo_Material!$A$2:$C$6426,3,0),1,25))</f>
        <v/>
      </c>
      <c r="L375" s="19"/>
      <c r="M375" s="20"/>
      <c r="N375" s="1"/>
      <c r="O375" s="2"/>
      <c r="P375" s="60"/>
      <c r="Q375" s="60"/>
      <c r="R375" s="60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8" t="str">
        <f t="shared" si="26"/>
        <v>OBRA</v>
      </c>
      <c r="D376" s="58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9" t="str">
        <f>IF(H376="","",MID(VLOOKUP(H376,Codigo_Material!$A$2:$C$9999,2,0),1,30))</f>
        <v/>
      </c>
      <c r="J376" s="59"/>
      <c r="K376" s="53" t="str">
        <f>IF(H376="","",MID(VLOOKUP(H376,Codigo_Material!$A$2:$C$6426,3,0),1,25))</f>
        <v/>
      </c>
      <c r="L376" s="19"/>
      <c r="M376" s="20"/>
      <c r="N376" s="1"/>
      <c r="O376" s="2"/>
      <c r="P376" s="60"/>
      <c r="Q376" s="60"/>
      <c r="R376" s="60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8" t="str">
        <f t="shared" si="26"/>
        <v>OBRA</v>
      </c>
      <c r="D377" s="58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9" t="str">
        <f>IF(H377="","",MID(VLOOKUP(H377,Codigo_Material!$A$2:$C$9999,2,0),1,30))</f>
        <v/>
      </c>
      <c r="J377" s="59"/>
      <c r="K377" s="53" t="str">
        <f>IF(H377="","",MID(VLOOKUP(H377,Codigo_Material!$A$2:$C$6426,3,0),1,25))</f>
        <v/>
      </c>
      <c r="L377" s="19"/>
      <c r="M377" s="20"/>
      <c r="N377" s="1"/>
      <c r="O377" s="2"/>
      <c r="P377" s="60"/>
      <c r="Q377" s="60"/>
      <c r="R377" s="60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8" t="str">
        <f t="shared" si="26"/>
        <v>OBRA</v>
      </c>
      <c r="D378" s="58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9" t="str">
        <f>IF(H378="","",MID(VLOOKUP(H378,Codigo_Material!$A$2:$C$9999,2,0),1,30))</f>
        <v/>
      </c>
      <c r="J378" s="59"/>
      <c r="K378" s="53" t="str">
        <f>IF(H378="","",MID(VLOOKUP(H378,Codigo_Material!$A$2:$C$6426,3,0),1,25))</f>
        <v/>
      </c>
      <c r="L378" s="19"/>
      <c r="M378" s="20"/>
      <c r="N378" s="1"/>
      <c r="O378" s="2"/>
      <c r="P378" s="60"/>
      <c r="Q378" s="60"/>
      <c r="R378" s="60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8" t="str">
        <f t="shared" si="26"/>
        <v>OBRA</v>
      </c>
      <c r="D379" s="58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9" t="str">
        <f>IF(H379="","",MID(VLOOKUP(H379,Codigo_Material!$A$2:$C$9999,2,0),1,30))</f>
        <v/>
      </c>
      <c r="J379" s="59"/>
      <c r="K379" s="53" t="str">
        <f>IF(H379="","",MID(VLOOKUP(H379,Codigo_Material!$A$2:$C$6426,3,0),1,25))</f>
        <v/>
      </c>
      <c r="L379" s="19"/>
      <c r="M379" s="20"/>
      <c r="N379" s="1"/>
      <c r="O379" s="2"/>
      <c r="P379" s="60"/>
      <c r="Q379" s="60"/>
      <c r="R379" s="60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8" t="str">
        <f t="shared" si="26"/>
        <v>OBRA</v>
      </c>
      <c r="D380" s="58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9" t="str">
        <f>IF(H380="","",MID(VLOOKUP(H380,Codigo_Material!$A$2:$C$9999,2,0),1,30))</f>
        <v/>
      </c>
      <c r="J380" s="59"/>
      <c r="K380" s="53" t="str">
        <f>IF(H380="","",MID(VLOOKUP(H380,Codigo_Material!$A$2:$C$6426,3,0),1,25))</f>
        <v/>
      </c>
      <c r="L380" s="19"/>
      <c r="M380" s="20"/>
      <c r="N380" s="1"/>
      <c r="O380" s="2"/>
      <c r="P380" s="60"/>
      <c r="Q380" s="60"/>
      <c r="R380" s="60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8" t="str">
        <f t="shared" si="26"/>
        <v>OBRA</v>
      </c>
      <c r="D381" s="58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9" t="str">
        <f>IF(H381="","",MID(VLOOKUP(H381,Codigo_Material!$A$2:$C$9999,2,0),1,30))</f>
        <v/>
      </c>
      <c r="J381" s="59"/>
      <c r="K381" s="53" t="str">
        <f>IF(H381="","",MID(VLOOKUP(H381,Codigo_Material!$A$2:$C$6426,3,0),1,25))</f>
        <v/>
      </c>
      <c r="L381" s="19"/>
      <c r="M381" s="20"/>
      <c r="N381" s="1"/>
      <c r="O381" s="2"/>
      <c r="P381" s="60"/>
      <c r="Q381" s="60"/>
      <c r="R381" s="60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8" t="str">
        <f t="shared" si="26"/>
        <v>OBRA</v>
      </c>
      <c r="D382" s="58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9" t="str">
        <f>IF(H382="","",MID(VLOOKUP(H382,Codigo_Material!$A$2:$C$9999,2,0),1,30))</f>
        <v/>
      </c>
      <c r="J382" s="59"/>
      <c r="K382" s="53" t="str">
        <f>IF(H382="","",MID(VLOOKUP(H382,Codigo_Material!$A$2:$C$6426,3,0),1,25))</f>
        <v/>
      </c>
      <c r="L382" s="19"/>
      <c r="M382" s="20"/>
      <c r="N382" s="1"/>
      <c r="O382" s="2"/>
      <c r="P382" s="60"/>
      <c r="Q382" s="60"/>
      <c r="R382" s="60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8" t="str">
        <f t="shared" si="26"/>
        <v>OBRA</v>
      </c>
      <c r="D383" s="58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9" t="str">
        <f>IF(H383="","",MID(VLOOKUP(H383,Codigo_Material!$A$2:$C$9999,2,0),1,30))</f>
        <v/>
      </c>
      <c r="J383" s="59"/>
      <c r="K383" s="53" t="str">
        <f>IF(H383="","",MID(VLOOKUP(H383,Codigo_Material!$A$2:$C$6426,3,0),1,25))</f>
        <v/>
      </c>
      <c r="L383" s="19"/>
      <c r="M383" s="20"/>
      <c r="N383" s="1"/>
      <c r="O383" s="2"/>
      <c r="P383" s="60"/>
      <c r="Q383" s="60"/>
      <c r="R383" s="60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8" t="str">
        <f t="shared" si="26"/>
        <v>OBRA</v>
      </c>
      <c r="D384" s="58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9" t="str">
        <f>IF(H384="","",MID(VLOOKUP(H384,Codigo_Material!$A$2:$C$9999,2,0),1,30))</f>
        <v/>
      </c>
      <c r="J384" s="59"/>
      <c r="K384" s="53" t="str">
        <f>IF(H384="","",MID(VLOOKUP(H384,Codigo_Material!$A$2:$C$6426,3,0),1,25))</f>
        <v/>
      </c>
      <c r="L384" s="19"/>
      <c r="M384" s="20"/>
      <c r="N384" s="1"/>
      <c r="O384" s="2"/>
      <c r="P384" s="60"/>
      <c r="Q384" s="60"/>
      <c r="R384" s="60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8" t="str">
        <f t="shared" si="26"/>
        <v>OBRA</v>
      </c>
      <c r="D385" s="58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9" t="str">
        <f>IF(H385="","",MID(VLOOKUP(H385,Codigo_Material!$A$2:$C$9999,2,0),1,30))</f>
        <v/>
      </c>
      <c r="J385" s="59"/>
      <c r="K385" s="53" t="str">
        <f>IF(H385="","",MID(VLOOKUP(H385,Codigo_Material!$A$2:$C$6426,3,0),1,25))</f>
        <v/>
      </c>
      <c r="L385" s="19"/>
      <c r="M385" s="20"/>
      <c r="N385" s="1"/>
      <c r="O385" s="2"/>
      <c r="P385" s="60"/>
      <c r="Q385" s="60"/>
      <c r="R385" s="60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8" t="str">
        <f t="shared" si="26"/>
        <v>OBRA</v>
      </c>
      <c r="D386" s="58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9" t="str">
        <f>IF(H386="","",MID(VLOOKUP(H386,Codigo_Material!$A$2:$C$9999,2,0),1,30))</f>
        <v/>
      </c>
      <c r="J386" s="59"/>
      <c r="K386" s="53" t="str">
        <f>IF(H386="","",MID(VLOOKUP(H386,Codigo_Material!$A$2:$C$6426,3,0),1,25))</f>
        <v/>
      </c>
      <c r="L386" s="19"/>
      <c r="M386" s="20"/>
      <c r="N386" s="1"/>
      <c r="O386" s="2"/>
      <c r="P386" s="60"/>
      <c r="Q386" s="60"/>
      <c r="R386" s="60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8" t="str">
        <f t="shared" si="26"/>
        <v>OBRA</v>
      </c>
      <c r="D387" s="58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9" t="str">
        <f>IF(H387="","",MID(VLOOKUP(H387,Codigo_Material!$A$2:$C$9999,2,0),1,30))</f>
        <v/>
      </c>
      <c r="J387" s="59"/>
      <c r="K387" s="53" t="str">
        <f>IF(H387="","",MID(VLOOKUP(H387,Codigo_Material!$A$2:$C$6426,3,0),1,25))</f>
        <v/>
      </c>
      <c r="L387" s="19"/>
      <c r="M387" s="20"/>
      <c r="N387" s="1"/>
      <c r="O387" s="2"/>
      <c r="P387" s="60"/>
      <c r="Q387" s="60"/>
      <c r="R387" s="60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8" t="str">
        <f t="shared" si="26"/>
        <v>OBRA</v>
      </c>
      <c r="D388" s="58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9" t="str">
        <f>IF(H388="","",MID(VLOOKUP(H388,Codigo_Material!$A$2:$C$9999,2,0),1,30))</f>
        <v/>
      </c>
      <c r="J388" s="59"/>
      <c r="K388" s="53" t="str">
        <f>IF(H388="","",MID(VLOOKUP(H388,Codigo_Material!$A$2:$C$6426,3,0),1,25))</f>
        <v/>
      </c>
      <c r="L388" s="19"/>
      <c r="M388" s="20"/>
      <c r="N388" s="1"/>
      <c r="O388" s="2"/>
      <c r="P388" s="60"/>
      <c r="Q388" s="60"/>
      <c r="R388" s="60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8" t="str">
        <f t="shared" si="26"/>
        <v>OBRA</v>
      </c>
      <c r="D389" s="58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9" t="str">
        <f>IF(H389="","",MID(VLOOKUP(H389,Codigo_Material!$A$2:$C$9999,2,0),1,30))</f>
        <v/>
      </c>
      <c r="J389" s="59"/>
      <c r="K389" s="53" t="str">
        <f>IF(H389="","",MID(VLOOKUP(H389,Codigo_Material!$A$2:$C$6426,3,0),1,25))</f>
        <v/>
      </c>
      <c r="L389" s="19"/>
      <c r="M389" s="20"/>
      <c r="N389" s="1"/>
      <c r="O389" s="2"/>
      <c r="P389" s="60"/>
      <c r="Q389" s="60"/>
      <c r="R389" s="60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8" t="str">
        <f t="shared" si="26"/>
        <v>OBRA</v>
      </c>
      <c r="D390" s="58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9" t="str">
        <f>IF(H390="","",MID(VLOOKUP(H390,Codigo_Material!$A$2:$C$9999,2,0),1,30))</f>
        <v/>
      </c>
      <c r="J390" s="59"/>
      <c r="K390" s="53" t="str">
        <f>IF(H390="","",MID(VLOOKUP(H390,Codigo_Material!$A$2:$C$6426,3,0),1,25))</f>
        <v/>
      </c>
      <c r="L390" s="19"/>
      <c r="M390" s="20"/>
      <c r="N390" s="1"/>
      <c r="O390" s="2"/>
      <c r="P390" s="60"/>
      <c r="Q390" s="60"/>
      <c r="R390" s="60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8" t="str">
        <f t="shared" si="26"/>
        <v>OBRA</v>
      </c>
      <c r="D391" s="58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9" t="str">
        <f>IF(H391="","",MID(VLOOKUP(H391,Codigo_Material!$A$2:$C$9999,2,0),1,30))</f>
        <v/>
      </c>
      <c r="J391" s="59"/>
      <c r="K391" s="53" t="str">
        <f>IF(H391="","",MID(VLOOKUP(H391,Codigo_Material!$A$2:$C$6426,3,0),1,25))</f>
        <v/>
      </c>
      <c r="L391" s="19"/>
      <c r="M391" s="20"/>
      <c r="N391" s="1"/>
      <c r="O391" s="2"/>
      <c r="P391" s="60"/>
      <c r="Q391" s="60"/>
      <c r="R391" s="60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8" t="str">
        <f t="shared" si="26"/>
        <v>OBRA</v>
      </c>
      <c r="D392" s="58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9" t="str">
        <f>IF(H392="","",MID(VLOOKUP(H392,Codigo_Material!$A$2:$C$9999,2,0),1,30))</f>
        <v/>
      </c>
      <c r="J392" s="59"/>
      <c r="K392" s="53" t="str">
        <f>IF(H392="","",MID(VLOOKUP(H392,Codigo_Material!$A$2:$C$6426,3,0),1,25))</f>
        <v/>
      </c>
      <c r="L392" s="19"/>
      <c r="M392" s="20"/>
      <c r="N392" s="1"/>
      <c r="O392" s="2"/>
      <c r="P392" s="60"/>
      <c r="Q392" s="60"/>
      <c r="R392" s="60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8" t="str">
        <f t="shared" si="26"/>
        <v>OBRA</v>
      </c>
      <c r="D393" s="58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9" t="str">
        <f>IF(H393="","",MID(VLOOKUP(H393,Codigo_Material!$A$2:$C$9999,2,0),1,30))</f>
        <v/>
      </c>
      <c r="J393" s="59"/>
      <c r="K393" s="53" t="str">
        <f>IF(H393="","",MID(VLOOKUP(H393,Codigo_Material!$A$2:$C$6426,3,0),1,25))</f>
        <v/>
      </c>
      <c r="L393" s="19"/>
      <c r="M393" s="20"/>
      <c r="N393" s="1"/>
      <c r="O393" s="2"/>
      <c r="P393" s="60"/>
      <c r="Q393" s="60"/>
      <c r="R393" s="60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8" t="str">
        <f t="shared" ref="C394:C457" si="31">IF($F$5="","",$F$5)</f>
        <v>OBRA</v>
      </c>
      <c r="D394" s="58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9" t="str">
        <f>IF(H394="","",MID(VLOOKUP(H394,Codigo_Material!$A$2:$C$9999,2,0),1,30))</f>
        <v/>
      </c>
      <c r="J394" s="59"/>
      <c r="K394" s="53" t="str">
        <f>IF(H394="","",MID(VLOOKUP(H394,Codigo_Material!$A$2:$C$6426,3,0),1,25))</f>
        <v/>
      </c>
      <c r="L394" s="19"/>
      <c r="M394" s="20"/>
      <c r="N394" s="1"/>
      <c r="O394" s="2"/>
      <c r="P394" s="60"/>
      <c r="Q394" s="60"/>
      <c r="R394" s="60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8" t="str">
        <f t="shared" si="31"/>
        <v>OBRA</v>
      </c>
      <c r="D395" s="58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9" t="str">
        <f>IF(H395="","",MID(VLOOKUP(H395,Codigo_Material!$A$2:$C$9999,2,0),1,30))</f>
        <v/>
      </c>
      <c r="J395" s="59"/>
      <c r="K395" s="53" t="str">
        <f>IF(H395="","",MID(VLOOKUP(H395,Codigo_Material!$A$2:$C$6426,3,0),1,25))</f>
        <v/>
      </c>
      <c r="L395" s="19"/>
      <c r="M395" s="20"/>
      <c r="N395" s="1"/>
      <c r="O395" s="2"/>
      <c r="P395" s="60"/>
      <c r="Q395" s="60"/>
      <c r="R395" s="60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8" t="str">
        <f t="shared" si="31"/>
        <v>OBRA</v>
      </c>
      <c r="D396" s="58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9" t="str">
        <f>IF(H396="","",MID(VLOOKUP(H396,Codigo_Material!$A$2:$C$9999,2,0),1,30))</f>
        <v/>
      </c>
      <c r="J396" s="59"/>
      <c r="K396" s="53" t="str">
        <f>IF(H396="","",MID(VLOOKUP(H396,Codigo_Material!$A$2:$C$6426,3,0),1,25))</f>
        <v/>
      </c>
      <c r="L396" s="19"/>
      <c r="M396" s="20"/>
      <c r="N396" s="1"/>
      <c r="O396" s="2"/>
      <c r="P396" s="60"/>
      <c r="Q396" s="60"/>
      <c r="R396" s="60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8" t="str">
        <f t="shared" si="31"/>
        <v>OBRA</v>
      </c>
      <c r="D397" s="58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9" t="str">
        <f>IF(H397="","",MID(VLOOKUP(H397,Codigo_Material!$A$2:$C$9999,2,0),1,30))</f>
        <v/>
      </c>
      <c r="J397" s="59"/>
      <c r="K397" s="53" t="str">
        <f>IF(H397="","",MID(VLOOKUP(H397,Codigo_Material!$A$2:$C$6426,3,0),1,25))</f>
        <v/>
      </c>
      <c r="L397" s="19"/>
      <c r="M397" s="20"/>
      <c r="N397" s="1"/>
      <c r="O397" s="2"/>
      <c r="P397" s="60"/>
      <c r="Q397" s="60"/>
      <c r="R397" s="60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8" t="str">
        <f t="shared" si="31"/>
        <v>OBRA</v>
      </c>
      <c r="D398" s="58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9" t="str">
        <f>IF(H398="","",MID(VLOOKUP(H398,Codigo_Material!$A$2:$C$9999,2,0),1,30))</f>
        <v/>
      </c>
      <c r="J398" s="59"/>
      <c r="K398" s="53" t="str">
        <f>IF(H398="","",MID(VLOOKUP(H398,Codigo_Material!$A$2:$C$6426,3,0),1,25))</f>
        <v/>
      </c>
      <c r="L398" s="19"/>
      <c r="M398" s="20"/>
      <c r="N398" s="1"/>
      <c r="O398" s="2"/>
      <c r="P398" s="60"/>
      <c r="Q398" s="60"/>
      <c r="R398" s="60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8" t="str">
        <f t="shared" si="31"/>
        <v>OBRA</v>
      </c>
      <c r="D399" s="58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9" t="str">
        <f>IF(H399="","",MID(VLOOKUP(H399,Codigo_Material!$A$2:$C$9999,2,0),1,30))</f>
        <v/>
      </c>
      <c r="J399" s="59"/>
      <c r="K399" s="53" t="str">
        <f>IF(H399="","",MID(VLOOKUP(H399,Codigo_Material!$A$2:$C$6426,3,0),1,25))</f>
        <v/>
      </c>
      <c r="L399" s="19"/>
      <c r="M399" s="20"/>
      <c r="N399" s="1"/>
      <c r="O399" s="2"/>
      <c r="P399" s="60"/>
      <c r="Q399" s="60"/>
      <c r="R399" s="60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8" t="str">
        <f t="shared" si="31"/>
        <v>OBRA</v>
      </c>
      <c r="D400" s="58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9" t="str">
        <f>IF(H400="","",MID(VLOOKUP(H400,Codigo_Material!$A$2:$C$9999,2,0),1,30))</f>
        <v/>
      </c>
      <c r="J400" s="59"/>
      <c r="K400" s="53" t="str">
        <f>IF(H400="","",MID(VLOOKUP(H400,Codigo_Material!$A$2:$C$6426,3,0),1,25))</f>
        <v/>
      </c>
      <c r="L400" s="19"/>
      <c r="M400" s="20"/>
      <c r="N400" s="1"/>
      <c r="O400" s="2"/>
      <c r="P400" s="60"/>
      <c r="Q400" s="60"/>
      <c r="R400" s="60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8" t="str">
        <f t="shared" si="31"/>
        <v>OBRA</v>
      </c>
      <c r="D401" s="58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9" t="str">
        <f>IF(H401="","",MID(VLOOKUP(H401,Codigo_Material!$A$2:$C$9999,2,0),1,30))</f>
        <v/>
      </c>
      <c r="J401" s="59"/>
      <c r="K401" s="53" t="str">
        <f>IF(H401="","",MID(VLOOKUP(H401,Codigo_Material!$A$2:$C$6426,3,0),1,25))</f>
        <v/>
      </c>
      <c r="L401" s="19"/>
      <c r="M401" s="20"/>
      <c r="N401" s="1"/>
      <c r="O401" s="2"/>
      <c r="P401" s="60"/>
      <c r="Q401" s="60"/>
      <c r="R401" s="60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8" t="str">
        <f t="shared" si="31"/>
        <v>OBRA</v>
      </c>
      <c r="D402" s="58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9" t="str">
        <f>IF(H402="","",MID(VLOOKUP(H402,Codigo_Material!$A$2:$C$9999,2,0),1,30))</f>
        <v/>
      </c>
      <c r="J402" s="59"/>
      <c r="K402" s="53" t="str">
        <f>IF(H402="","",MID(VLOOKUP(H402,Codigo_Material!$A$2:$C$6426,3,0),1,25))</f>
        <v/>
      </c>
      <c r="L402" s="19"/>
      <c r="M402" s="20"/>
      <c r="N402" s="1"/>
      <c r="O402" s="2"/>
      <c r="P402" s="60"/>
      <c r="Q402" s="60"/>
      <c r="R402" s="60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8" t="str">
        <f t="shared" si="31"/>
        <v>OBRA</v>
      </c>
      <c r="D403" s="58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9" t="str">
        <f>IF(H403="","",MID(VLOOKUP(H403,Codigo_Material!$A$2:$C$9999,2,0),1,30))</f>
        <v/>
      </c>
      <c r="J403" s="59"/>
      <c r="K403" s="53" t="str">
        <f>IF(H403="","",MID(VLOOKUP(H403,Codigo_Material!$A$2:$C$6426,3,0),1,25))</f>
        <v/>
      </c>
      <c r="L403" s="19"/>
      <c r="M403" s="20"/>
      <c r="N403" s="1"/>
      <c r="O403" s="2"/>
      <c r="P403" s="60"/>
      <c r="Q403" s="60"/>
      <c r="R403" s="60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8" t="str">
        <f t="shared" si="31"/>
        <v>OBRA</v>
      </c>
      <c r="D404" s="58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9" t="str">
        <f>IF(H404="","",MID(VLOOKUP(H404,Codigo_Material!$A$2:$C$9999,2,0),1,30))</f>
        <v/>
      </c>
      <c r="J404" s="59"/>
      <c r="K404" s="53" t="str">
        <f>IF(H404="","",MID(VLOOKUP(H404,Codigo_Material!$A$2:$C$6426,3,0),1,25))</f>
        <v/>
      </c>
      <c r="L404" s="19"/>
      <c r="M404" s="20"/>
      <c r="N404" s="1"/>
      <c r="O404" s="2"/>
      <c r="P404" s="60"/>
      <c r="Q404" s="60"/>
      <c r="R404" s="60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8" t="str">
        <f t="shared" si="31"/>
        <v>OBRA</v>
      </c>
      <c r="D405" s="58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9" t="str">
        <f>IF(H405="","",MID(VLOOKUP(H405,Codigo_Material!$A$2:$C$9999,2,0),1,30))</f>
        <v/>
      </c>
      <c r="J405" s="59"/>
      <c r="K405" s="53" t="str">
        <f>IF(H405="","",MID(VLOOKUP(H405,Codigo_Material!$A$2:$C$6426,3,0),1,25))</f>
        <v/>
      </c>
      <c r="L405" s="19"/>
      <c r="M405" s="20"/>
      <c r="N405" s="1"/>
      <c r="O405" s="2"/>
      <c r="P405" s="60"/>
      <c r="Q405" s="60"/>
      <c r="R405" s="60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8" t="str">
        <f t="shared" si="31"/>
        <v>OBRA</v>
      </c>
      <c r="D406" s="58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9" t="str">
        <f>IF(H406="","",MID(VLOOKUP(H406,Codigo_Material!$A$2:$C$9999,2,0),1,30))</f>
        <v/>
      </c>
      <c r="J406" s="59"/>
      <c r="K406" s="53" t="str">
        <f>IF(H406="","",MID(VLOOKUP(H406,Codigo_Material!$A$2:$C$6426,3,0),1,25))</f>
        <v/>
      </c>
      <c r="L406" s="19"/>
      <c r="M406" s="20"/>
      <c r="N406" s="1"/>
      <c r="O406" s="2"/>
      <c r="P406" s="60"/>
      <c r="Q406" s="60"/>
      <c r="R406" s="60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8" t="str">
        <f t="shared" si="31"/>
        <v>OBRA</v>
      </c>
      <c r="D407" s="58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9" t="str">
        <f>IF(H407="","",MID(VLOOKUP(H407,Codigo_Material!$A$2:$C$9999,2,0),1,30))</f>
        <v/>
      </c>
      <c r="J407" s="59"/>
      <c r="K407" s="53" t="str">
        <f>IF(H407="","",MID(VLOOKUP(H407,Codigo_Material!$A$2:$C$6426,3,0),1,25))</f>
        <v/>
      </c>
      <c r="L407" s="19"/>
      <c r="M407" s="20"/>
      <c r="N407" s="1"/>
      <c r="O407" s="2"/>
      <c r="P407" s="60"/>
      <c r="Q407" s="60"/>
      <c r="R407" s="60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8" t="str">
        <f t="shared" si="31"/>
        <v>OBRA</v>
      </c>
      <c r="D408" s="58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9" t="str">
        <f>IF(H408="","",MID(VLOOKUP(H408,Codigo_Material!$A$2:$C$9999,2,0),1,30))</f>
        <v/>
      </c>
      <c r="J408" s="59"/>
      <c r="K408" s="53" t="str">
        <f>IF(H408="","",MID(VLOOKUP(H408,Codigo_Material!$A$2:$C$6426,3,0),1,25))</f>
        <v/>
      </c>
      <c r="L408" s="19"/>
      <c r="M408" s="20"/>
      <c r="N408" s="1"/>
      <c r="O408" s="2"/>
      <c r="P408" s="60"/>
      <c r="Q408" s="60"/>
      <c r="R408" s="60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8" t="str">
        <f t="shared" si="31"/>
        <v>OBRA</v>
      </c>
      <c r="D409" s="58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9" t="str">
        <f>IF(H409="","",MID(VLOOKUP(H409,Codigo_Material!$A$2:$C$9999,2,0),1,30))</f>
        <v/>
      </c>
      <c r="J409" s="59"/>
      <c r="K409" s="53" t="str">
        <f>IF(H409="","",MID(VLOOKUP(H409,Codigo_Material!$A$2:$C$6426,3,0),1,25))</f>
        <v/>
      </c>
      <c r="L409" s="19"/>
      <c r="M409" s="20"/>
      <c r="N409" s="1"/>
      <c r="O409" s="2"/>
      <c r="P409" s="60"/>
      <c r="Q409" s="60"/>
      <c r="R409" s="60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8" t="str">
        <f t="shared" si="31"/>
        <v>OBRA</v>
      </c>
      <c r="D410" s="58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9" t="str">
        <f>IF(H410="","",MID(VLOOKUP(H410,Codigo_Material!$A$2:$C$9999,2,0),1,30))</f>
        <v/>
      </c>
      <c r="J410" s="59"/>
      <c r="K410" s="53" t="str">
        <f>IF(H410="","",MID(VLOOKUP(H410,Codigo_Material!$A$2:$C$6426,3,0),1,25))</f>
        <v/>
      </c>
      <c r="L410" s="19"/>
      <c r="M410" s="20"/>
      <c r="N410" s="1"/>
      <c r="O410" s="2"/>
      <c r="P410" s="60"/>
      <c r="Q410" s="60"/>
      <c r="R410" s="60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8" t="str">
        <f t="shared" si="31"/>
        <v>OBRA</v>
      </c>
      <c r="D411" s="58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9" t="str">
        <f>IF(H411="","",MID(VLOOKUP(H411,Codigo_Material!$A$2:$C$9999,2,0),1,30))</f>
        <v/>
      </c>
      <c r="J411" s="59"/>
      <c r="K411" s="53" t="str">
        <f>IF(H411="","",MID(VLOOKUP(H411,Codigo_Material!$A$2:$C$6426,3,0),1,25))</f>
        <v/>
      </c>
      <c r="L411" s="19"/>
      <c r="M411" s="20"/>
      <c r="N411" s="1"/>
      <c r="O411" s="2"/>
      <c r="P411" s="60"/>
      <c r="Q411" s="60"/>
      <c r="R411" s="60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8" t="str">
        <f t="shared" si="31"/>
        <v>OBRA</v>
      </c>
      <c r="D412" s="58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9" t="str">
        <f>IF(H412="","",MID(VLOOKUP(H412,Codigo_Material!$A$2:$C$9999,2,0),1,30))</f>
        <v/>
      </c>
      <c r="J412" s="59"/>
      <c r="K412" s="53" t="str">
        <f>IF(H412="","",MID(VLOOKUP(H412,Codigo_Material!$A$2:$C$6426,3,0),1,25))</f>
        <v/>
      </c>
      <c r="L412" s="19"/>
      <c r="M412" s="20"/>
      <c r="N412" s="1"/>
      <c r="O412" s="2"/>
      <c r="P412" s="60"/>
      <c r="Q412" s="60"/>
      <c r="R412" s="60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8" t="str">
        <f t="shared" si="31"/>
        <v>OBRA</v>
      </c>
      <c r="D413" s="58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9" t="str">
        <f>IF(H413="","",MID(VLOOKUP(H413,Codigo_Material!$A$2:$C$9999,2,0),1,30))</f>
        <v/>
      </c>
      <c r="J413" s="59"/>
      <c r="K413" s="53" t="str">
        <f>IF(H413="","",MID(VLOOKUP(H413,Codigo_Material!$A$2:$C$6426,3,0),1,25))</f>
        <v/>
      </c>
      <c r="L413" s="19"/>
      <c r="M413" s="20"/>
      <c r="N413" s="1"/>
      <c r="O413" s="2"/>
      <c r="P413" s="60"/>
      <c r="Q413" s="60"/>
      <c r="R413" s="60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8" t="str">
        <f t="shared" si="31"/>
        <v>OBRA</v>
      </c>
      <c r="D414" s="58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9" t="str">
        <f>IF(H414="","",MID(VLOOKUP(H414,Codigo_Material!$A$2:$C$9999,2,0),1,30))</f>
        <v/>
      </c>
      <c r="J414" s="59"/>
      <c r="K414" s="53" t="str">
        <f>IF(H414="","",MID(VLOOKUP(H414,Codigo_Material!$A$2:$C$6426,3,0),1,25))</f>
        <v/>
      </c>
      <c r="L414" s="19"/>
      <c r="M414" s="20"/>
      <c r="N414" s="1"/>
      <c r="O414" s="2"/>
      <c r="P414" s="60"/>
      <c r="Q414" s="60"/>
      <c r="R414" s="60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8" t="str">
        <f t="shared" si="31"/>
        <v>OBRA</v>
      </c>
      <c r="D415" s="58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9" t="str">
        <f>IF(H415="","",MID(VLOOKUP(H415,Codigo_Material!$A$2:$C$9999,2,0),1,30))</f>
        <v/>
      </c>
      <c r="J415" s="59"/>
      <c r="K415" s="53" t="str">
        <f>IF(H415="","",MID(VLOOKUP(H415,Codigo_Material!$A$2:$C$6426,3,0),1,25))</f>
        <v/>
      </c>
      <c r="L415" s="19"/>
      <c r="M415" s="20"/>
      <c r="N415" s="1"/>
      <c r="O415" s="2"/>
      <c r="P415" s="60"/>
      <c r="Q415" s="60"/>
      <c r="R415" s="60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8" t="str">
        <f t="shared" si="31"/>
        <v>OBRA</v>
      </c>
      <c r="D416" s="58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9" t="str">
        <f>IF(H416="","",MID(VLOOKUP(H416,Codigo_Material!$A$2:$C$9999,2,0),1,30))</f>
        <v/>
      </c>
      <c r="J416" s="59"/>
      <c r="K416" s="53" t="str">
        <f>IF(H416="","",MID(VLOOKUP(H416,Codigo_Material!$A$2:$C$6426,3,0),1,25))</f>
        <v/>
      </c>
      <c r="L416" s="19"/>
      <c r="M416" s="20"/>
      <c r="N416" s="1"/>
      <c r="O416" s="2"/>
      <c r="P416" s="60"/>
      <c r="Q416" s="60"/>
      <c r="R416" s="60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8" t="str">
        <f t="shared" si="31"/>
        <v>OBRA</v>
      </c>
      <c r="D417" s="58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9" t="str">
        <f>IF(H417="","",MID(VLOOKUP(H417,Codigo_Material!$A$2:$C$9999,2,0),1,30))</f>
        <v/>
      </c>
      <c r="J417" s="59"/>
      <c r="K417" s="53" t="str">
        <f>IF(H417="","",MID(VLOOKUP(H417,Codigo_Material!$A$2:$C$6426,3,0),1,25))</f>
        <v/>
      </c>
      <c r="L417" s="19"/>
      <c r="M417" s="20"/>
      <c r="N417" s="1"/>
      <c r="O417" s="2"/>
      <c r="P417" s="60"/>
      <c r="Q417" s="60"/>
      <c r="R417" s="60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8" t="str">
        <f t="shared" si="31"/>
        <v>OBRA</v>
      </c>
      <c r="D418" s="58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9" t="str">
        <f>IF(H418="","",MID(VLOOKUP(H418,Codigo_Material!$A$2:$C$9999,2,0),1,30))</f>
        <v/>
      </c>
      <c r="J418" s="59"/>
      <c r="K418" s="53" t="str">
        <f>IF(H418="","",MID(VLOOKUP(H418,Codigo_Material!$A$2:$C$6426,3,0),1,25))</f>
        <v/>
      </c>
      <c r="L418" s="19"/>
      <c r="M418" s="20"/>
      <c r="N418" s="1"/>
      <c r="O418" s="2"/>
      <c r="P418" s="60"/>
      <c r="Q418" s="60"/>
      <c r="R418" s="60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8" t="str">
        <f t="shared" si="31"/>
        <v>OBRA</v>
      </c>
      <c r="D419" s="58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9" t="str">
        <f>IF(H419="","",MID(VLOOKUP(H419,Codigo_Material!$A$2:$C$9999,2,0),1,30))</f>
        <v/>
      </c>
      <c r="J419" s="59"/>
      <c r="K419" s="53" t="str">
        <f>IF(H419="","",MID(VLOOKUP(H419,Codigo_Material!$A$2:$C$6426,3,0),1,25))</f>
        <v/>
      </c>
      <c r="L419" s="19"/>
      <c r="M419" s="20"/>
      <c r="N419" s="1"/>
      <c r="O419" s="2"/>
      <c r="P419" s="60"/>
      <c r="Q419" s="60"/>
      <c r="R419" s="60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8" t="str">
        <f t="shared" si="31"/>
        <v>OBRA</v>
      </c>
      <c r="D420" s="58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9" t="str">
        <f>IF(H420="","",MID(VLOOKUP(H420,Codigo_Material!$A$2:$C$9999,2,0),1,30))</f>
        <v/>
      </c>
      <c r="J420" s="59"/>
      <c r="K420" s="53" t="str">
        <f>IF(H420="","",MID(VLOOKUP(H420,Codigo_Material!$A$2:$C$6426,3,0),1,25))</f>
        <v/>
      </c>
      <c r="L420" s="19"/>
      <c r="M420" s="20"/>
      <c r="N420" s="1"/>
      <c r="O420" s="2"/>
      <c r="P420" s="60"/>
      <c r="Q420" s="60"/>
      <c r="R420" s="60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8" t="str">
        <f t="shared" si="31"/>
        <v>OBRA</v>
      </c>
      <c r="D421" s="58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9" t="str">
        <f>IF(H421="","",MID(VLOOKUP(H421,Codigo_Material!$A$2:$C$9999,2,0),1,30))</f>
        <v/>
      </c>
      <c r="J421" s="59"/>
      <c r="K421" s="53" t="str">
        <f>IF(H421="","",MID(VLOOKUP(H421,Codigo_Material!$A$2:$C$6426,3,0),1,25))</f>
        <v/>
      </c>
      <c r="L421" s="19"/>
      <c r="M421" s="20"/>
      <c r="N421" s="1"/>
      <c r="O421" s="2"/>
      <c r="P421" s="60"/>
      <c r="Q421" s="60"/>
      <c r="R421" s="60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8" t="str">
        <f t="shared" si="31"/>
        <v>OBRA</v>
      </c>
      <c r="D422" s="58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9" t="str">
        <f>IF(H422="","",MID(VLOOKUP(H422,Codigo_Material!$A$2:$C$9999,2,0),1,30))</f>
        <v/>
      </c>
      <c r="J422" s="59"/>
      <c r="K422" s="53" t="str">
        <f>IF(H422="","",MID(VLOOKUP(H422,Codigo_Material!$A$2:$C$6426,3,0),1,25))</f>
        <v/>
      </c>
      <c r="L422" s="19"/>
      <c r="M422" s="20"/>
      <c r="N422" s="1"/>
      <c r="O422" s="2"/>
      <c r="P422" s="60"/>
      <c r="Q422" s="60"/>
      <c r="R422" s="60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8" t="str">
        <f t="shared" si="31"/>
        <v>OBRA</v>
      </c>
      <c r="D423" s="58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9" t="str">
        <f>IF(H423="","",MID(VLOOKUP(H423,Codigo_Material!$A$2:$C$9999,2,0),1,30))</f>
        <v/>
      </c>
      <c r="J423" s="59"/>
      <c r="K423" s="53" t="str">
        <f>IF(H423="","",MID(VLOOKUP(H423,Codigo_Material!$A$2:$C$6426,3,0),1,25))</f>
        <v/>
      </c>
      <c r="L423" s="19"/>
      <c r="M423" s="20"/>
      <c r="N423" s="1"/>
      <c r="O423" s="2"/>
      <c r="P423" s="60"/>
      <c r="Q423" s="60"/>
      <c r="R423" s="60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8" t="str">
        <f t="shared" si="31"/>
        <v>OBRA</v>
      </c>
      <c r="D424" s="58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9" t="str">
        <f>IF(H424="","",MID(VLOOKUP(H424,Codigo_Material!$A$2:$C$9999,2,0),1,30))</f>
        <v/>
      </c>
      <c r="J424" s="59"/>
      <c r="K424" s="53" t="str">
        <f>IF(H424="","",MID(VLOOKUP(H424,Codigo_Material!$A$2:$C$6426,3,0),1,25))</f>
        <v/>
      </c>
      <c r="L424" s="19"/>
      <c r="M424" s="20"/>
      <c r="N424" s="1"/>
      <c r="O424" s="2"/>
      <c r="P424" s="60"/>
      <c r="Q424" s="60"/>
      <c r="R424" s="60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8" t="str">
        <f t="shared" si="31"/>
        <v>OBRA</v>
      </c>
      <c r="D425" s="58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9" t="str">
        <f>IF(H425="","",MID(VLOOKUP(H425,Codigo_Material!$A$2:$C$9999,2,0),1,30))</f>
        <v/>
      </c>
      <c r="J425" s="59"/>
      <c r="K425" s="53" t="str">
        <f>IF(H425="","",MID(VLOOKUP(H425,Codigo_Material!$A$2:$C$6426,3,0),1,25))</f>
        <v/>
      </c>
      <c r="L425" s="19"/>
      <c r="M425" s="20"/>
      <c r="N425" s="1"/>
      <c r="O425" s="2"/>
      <c r="P425" s="60"/>
      <c r="Q425" s="60"/>
      <c r="R425" s="60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8" t="str">
        <f t="shared" si="31"/>
        <v>OBRA</v>
      </c>
      <c r="D426" s="58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9" t="str">
        <f>IF(H426="","",MID(VLOOKUP(H426,Codigo_Material!$A$2:$C$9999,2,0),1,30))</f>
        <v/>
      </c>
      <c r="J426" s="59"/>
      <c r="K426" s="53" t="str">
        <f>IF(H426="","",MID(VLOOKUP(H426,Codigo_Material!$A$2:$C$6426,3,0),1,25))</f>
        <v/>
      </c>
      <c r="L426" s="19"/>
      <c r="M426" s="20"/>
      <c r="N426" s="1"/>
      <c r="O426" s="2"/>
      <c r="P426" s="60"/>
      <c r="Q426" s="60"/>
      <c r="R426" s="60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8" t="str">
        <f t="shared" si="31"/>
        <v>OBRA</v>
      </c>
      <c r="D427" s="58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9" t="str">
        <f>IF(H427="","",MID(VLOOKUP(H427,Codigo_Material!$A$2:$C$9999,2,0),1,30))</f>
        <v/>
      </c>
      <c r="J427" s="59"/>
      <c r="K427" s="53" t="str">
        <f>IF(H427="","",MID(VLOOKUP(H427,Codigo_Material!$A$2:$C$6426,3,0),1,25))</f>
        <v/>
      </c>
      <c r="L427" s="19"/>
      <c r="M427" s="20"/>
      <c r="N427" s="1"/>
      <c r="O427" s="2"/>
      <c r="P427" s="60"/>
      <c r="Q427" s="60"/>
      <c r="R427" s="60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8" t="str">
        <f t="shared" si="31"/>
        <v>OBRA</v>
      </c>
      <c r="D428" s="58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9" t="str">
        <f>IF(H428="","",MID(VLOOKUP(H428,Codigo_Material!$A$2:$C$9999,2,0),1,30))</f>
        <v/>
      </c>
      <c r="J428" s="59"/>
      <c r="K428" s="53" t="str">
        <f>IF(H428="","",MID(VLOOKUP(H428,Codigo_Material!$A$2:$C$6426,3,0),1,25))</f>
        <v/>
      </c>
      <c r="L428" s="19"/>
      <c r="M428" s="20"/>
      <c r="N428" s="1"/>
      <c r="O428" s="2"/>
      <c r="P428" s="60"/>
      <c r="Q428" s="60"/>
      <c r="R428" s="60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8" t="str">
        <f t="shared" si="31"/>
        <v>OBRA</v>
      </c>
      <c r="D429" s="58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9" t="str">
        <f>IF(H429="","",MID(VLOOKUP(H429,Codigo_Material!$A$2:$C$9999,2,0),1,30))</f>
        <v/>
      </c>
      <c r="J429" s="59"/>
      <c r="K429" s="53" t="str">
        <f>IF(H429="","",MID(VLOOKUP(H429,Codigo_Material!$A$2:$C$6426,3,0),1,25))</f>
        <v/>
      </c>
      <c r="L429" s="19"/>
      <c r="M429" s="20"/>
      <c r="N429" s="1"/>
      <c r="O429" s="2"/>
      <c r="P429" s="60"/>
      <c r="Q429" s="60"/>
      <c r="R429" s="60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8" t="str">
        <f t="shared" si="31"/>
        <v>OBRA</v>
      </c>
      <c r="D430" s="58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9" t="str">
        <f>IF(H430="","",MID(VLOOKUP(H430,Codigo_Material!$A$2:$C$9999,2,0),1,30))</f>
        <v/>
      </c>
      <c r="J430" s="59"/>
      <c r="K430" s="53" t="str">
        <f>IF(H430="","",MID(VLOOKUP(H430,Codigo_Material!$A$2:$C$6426,3,0),1,25))</f>
        <v/>
      </c>
      <c r="L430" s="19"/>
      <c r="M430" s="20"/>
      <c r="N430" s="1"/>
      <c r="O430" s="2"/>
      <c r="P430" s="60"/>
      <c r="Q430" s="60"/>
      <c r="R430" s="60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8" t="str">
        <f t="shared" si="31"/>
        <v>OBRA</v>
      </c>
      <c r="D431" s="58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9" t="str">
        <f>IF(H431="","",MID(VLOOKUP(H431,Codigo_Material!$A$2:$C$9999,2,0),1,30))</f>
        <v/>
      </c>
      <c r="J431" s="59"/>
      <c r="K431" s="53" t="str">
        <f>IF(H431="","",MID(VLOOKUP(H431,Codigo_Material!$A$2:$C$6426,3,0),1,25))</f>
        <v/>
      </c>
      <c r="L431" s="19"/>
      <c r="M431" s="20"/>
      <c r="N431" s="1"/>
      <c r="O431" s="2"/>
      <c r="P431" s="60"/>
      <c r="Q431" s="60"/>
      <c r="R431" s="60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8" t="str">
        <f t="shared" si="31"/>
        <v>OBRA</v>
      </c>
      <c r="D432" s="58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9" t="str">
        <f>IF(H432="","",MID(VLOOKUP(H432,Codigo_Material!$A$2:$C$9999,2,0),1,30))</f>
        <v/>
      </c>
      <c r="J432" s="59"/>
      <c r="K432" s="53" t="str">
        <f>IF(H432="","",MID(VLOOKUP(H432,Codigo_Material!$A$2:$C$6426,3,0),1,25))</f>
        <v/>
      </c>
      <c r="L432" s="19"/>
      <c r="M432" s="20"/>
      <c r="N432" s="1"/>
      <c r="O432" s="2"/>
      <c r="P432" s="60"/>
      <c r="Q432" s="60"/>
      <c r="R432" s="60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8" t="str">
        <f t="shared" si="31"/>
        <v>OBRA</v>
      </c>
      <c r="D433" s="58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9" t="str">
        <f>IF(H433="","",MID(VLOOKUP(H433,Codigo_Material!$A$2:$C$9999,2,0),1,30))</f>
        <v/>
      </c>
      <c r="J433" s="59"/>
      <c r="K433" s="53" t="str">
        <f>IF(H433="","",MID(VLOOKUP(H433,Codigo_Material!$A$2:$C$6426,3,0),1,25))</f>
        <v/>
      </c>
      <c r="L433" s="19"/>
      <c r="M433" s="20"/>
      <c r="N433" s="1"/>
      <c r="O433" s="2"/>
      <c r="P433" s="60"/>
      <c r="Q433" s="60"/>
      <c r="R433" s="60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8" t="str">
        <f t="shared" si="31"/>
        <v>OBRA</v>
      </c>
      <c r="D434" s="58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9" t="str">
        <f>IF(H434="","",MID(VLOOKUP(H434,Codigo_Material!$A$2:$C$9999,2,0),1,30))</f>
        <v/>
      </c>
      <c r="J434" s="59"/>
      <c r="K434" s="53" t="str">
        <f>IF(H434="","",MID(VLOOKUP(H434,Codigo_Material!$A$2:$C$6426,3,0),1,25))</f>
        <v/>
      </c>
      <c r="L434" s="19"/>
      <c r="M434" s="20"/>
      <c r="N434" s="1"/>
      <c r="O434" s="2"/>
      <c r="P434" s="60"/>
      <c r="Q434" s="60"/>
      <c r="R434" s="60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8" t="str">
        <f t="shared" si="31"/>
        <v>OBRA</v>
      </c>
      <c r="D435" s="58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9" t="str">
        <f>IF(H435="","",MID(VLOOKUP(H435,Codigo_Material!$A$2:$C$9999,2,0),1,30))</f>
        <v/>
      </c>
      <c r="J435" s="59"/>
      <c r="K435" s="53" t="str">
        <f>IF(H435="","",MID(VLOOKUP(H435,Codigo_Material!$A$2:$C$6426,3,0),1,25))</f>
        <v/>
      </c>
      <c r="L435" s="19"/>
      <c r="M435" s="20"/>
      <c r="N435" s="1"/>
      <c r="O435" s="2"/>
      <c r="P435" s="60"/>
      <c r="Q435" s="60"/>
      <c r="R435" s="60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8" t="str">
        <f t="shared" si="31"/>
        <v>OBRA</v>
      </c>
      <c r="D436" s="58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9" t="str">
        <f>IF(H436="","",MID(VLOOKUP(H436,Codigo_Material!$A$2:$C$9999,2,0),1,30))</f>
        <v/>
      </c>
      <c r="J436" s="59"/>
      <c r="K436" s="53" t="str">
        <f>IF(H436="","",MID(VLOOKUP(H436,Codigo_Material!$A$2:$C$6426,3,0),1,25))</f>
        <v/>
      </c>
      <c r="L436" s="19"/>
      <c r="M436" s="20"/>
      <c r="N436" s="1"/>
      <c r="O436" s="2"/>
      <c r="P436" s="60"/>
      <c r="Q436" s="60"/>
      <c r="R436" s="60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8" t="str">
        <f t="shared" si="31"/>
        <v>OBRA</v>
      </c>
      <c r="D437" s="58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9" t="str">
        <f>IF(H437="","",MID(VLOOKUP(H437,Codigo_Material!$A$2:$C$9999,2,0),1,30))</f>
        <v/>
      </c>
      <c r="J437" s="59"/>
      <c r="K437" s="53" t="str">
        <f>IF(H437="","",MID(VLOOKUP(H437,Codigo_Material!$A$2:$C$6426,3,0),1,25))</f>
        <v/>
      </c>
      <c r="L437" s="19"/>
      <c r="M437" s="20"/>
      <c r="N437" s="1"/>
      <c r="O437" s="2"/>
      <c r="P437" s="60"/>
      <c r="Q437" s="60"/>
      <c r="R437" s="60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8" t="str">
        <f t="shared" si="31"/>
        <v>OBRA</v>
      </c>
      <c r="D438" s="58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9" t="str">
        <f>IF(H438="","",MID(VLOOKUP(H438,Codigo_Material!$A$2:$C$9999,2,0),1,30))</f>
        <v/>
      </c>
      <c r="J438" s="59"/>
      <c r="K438" s="53" t="str">
        <f>IF(H438="","",MID(VLOOKUP(H438,Codigo_Material!$A$2:$C$6426,3,0),1,25))</f>
        <v/>
      </c>
      <c r="L438" s="19"/>
      <c r="M438" s="20"/>
      <c r="N438" s="1"/>
      <c r="O438" s="2"/>
      <c r="P438" s="60"/>
      <c r="Q438" s="60"/>
      <c r="R438" s="60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8" t="str">
        <f t="shared" si="31"/>
        <v>OBRA</v>
      </c>
      <c r="D439" s="58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9" t="str">
        <f>IF(H439="","",MID(VLOOKUP(H439,Codigo_Material!$A$2:$C$9999,2,0),1,30))</f>
        <v/>
      </c>
      <c r="J439" s="59"/>
      <c r="K439" s="53" t="str">
        <f>IF(H439="","",MID(VLOOKUP(H439,Codigo_Material!$A$2:$C$6426,3,0),1,25))</f>
        <v/>
      </c>
      <c r="L439" s="19"/>
      <c r="M439" s="20"/>
      <c r="N439" s="1"/>
      <c r="O439" s="2"/>
      <c r="P439" s="60"/>
      <c r="Q439" s="60"/>
      <c r="R439" s="60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8" t="str">
        <f t="shared" si="31"/>
        <v>OBRA</v>
      </c>
      <c r="D440" s="58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9" t="str">
        <f>IF(H440="","",MID(VLOOKUP(H440,Codigo_Material!$A$2:$C$9999,2,0),1,30))</f>
        <v/>
      </c>
      <c r="J440" s="59"/>
      <c r="K440" s="53" t="str">
        <f>IF(H440="","",MID(VLOOKUP(H440,Codigo_Material!$A$2:$C$6426,3,0),1,25))</f>
        <v/>
      </c>
      <c r="L440" s="19"/>
      <c r="M440" s="20"/>
      <c r="N440" s="1"/>
      <c r="O440" s="2"/>
      <c r="P440" s="60"/>
      <c r="Q440" s="60"/>
      <c r="R440" s="60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8" t="str">
        <f t="shared" si="31"/>
        <v>OBRA</v>
      </c>
      <c r="D441" s="58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9" t="str">
        <f>IF(H441="","",MID(VLOOKUP(H441,Codigo_Material!$A$2:$C$9999,2,0),1,30))</f>
        <v/>
      </c>
      <c r="J441" s="59"/>
      <c r="K441" s="53" t="str">
        <f>IF(H441="","",MID(VLOOKUP(H441,Codigo_Material!$A$2:$C$6426,3,0),1,25))</f>
        <v/>
      </c>
      <c r="L441" s="19"/>
      <c r="M441" s="20"/>
      <c r="N441" s="1"/>
      <c r="O441" s="2"/>
      <c r="P441" s="60"/>
      <c r="Q441" s="60"/>
      <c r="R441" s="60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8" t="str">
        <f t="shared" si="31"/>
        <v>OBRA</v>
      </c>
      <c r="D442" s="58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9" t="str">
        <f>IF(H442="","",MID(VLOOKUP(H442,Codigo_Material!$A$2:$C$9999,2,0),1,30))</f>
        <v/>
      </c>
      <c r="J442" s="59"/>
      <c r="K442" s="53" t="str">
        <f>IF(H442="","",MID(VLOOKUP(H442,Codigo_Material!$A$2:$C$6426,3,0),1,25))</f>
        <v/>
      </c>
      <c r="L442" s="19"/>
      <c r="M442" s="20"/>
      <c r="N442" s="1"/>
      <c r="O442" s="2"/>
      <c r="P442" s="60"/>
      <c r="Q442" s="60"/>
      <c r="R442" s="60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8" t="str">
        <f t="shared" si="31"/>
        <v>OBRA</v>
      </c>
      <c r="D443" s="58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9" t="str">
        <f>IF(H443="","",MID(VLOOKUP(H443,Codigo_Material!$A$2:$C$9999,2,0),1,30))</f>
        <v/>
      </c>
      <c r="J443" s="59"/>
      <c r="K443" s="53" t="str">
        <f>IF(H443="","",MID(VLOOKUP(H443,Codigo_Material!$A$2:$C$6426,3,0),1,25))</f>
        <v/>
      </c>
      <c r="L443" s="19"/>
      <c r="M443" s="20"/>
      <c r="N443" s="1"/>
      <c r="O443" s="2"/>
      <c r="P443" s="60"/>
      <c r="Q443" s="60"/>
      <c r="R443" s="60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8" t="str">
        <f t="shared" si="31"/>
        <v>OBRA</v>
      </c>
      <c r="D444" s="58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9" t="str">
        <f>IF(H444="","",MID(VLOOKUP(H444,Codigo_Material!$A$2:$C$9999,2,0),1,30))</f>
        <v/>
      </c>
      <c r="J444" s="59"/>
      <c r="K444" s="53" t="str">
        <f>IF(H444="","",MID(VLOOKUP(H444,Codigo_Material!$A$2:$C$6426,3,0),1,25))</f>
        <v/>
      </c>
      <c r="L444" s="19"/>
      <c r="M444" s="20"/>
      <c r="N444" s="1"/>
      <c r="O444" s="2"/>
      <c r="P444" s="60"/>
      <c r="Q444" s="60"/>
      <c r="R444" s="60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8" t="str">
        <f t="shared" si="31"/>
        <v>OBRA</v>
      </c>
      <c r="D445" s="58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9" t="str">
        <f>IF(H445="","",MID(VLOOKUP(H445,Codigo_Material!$A$2:$C$9999,2,0),1,30))</f>
        <v/>
      </c>
      <c r="J445" s="59"/>
      <c r="K445" s="53" t="str">
        <f>IF(H445="","",MID(VLOOKUP(H445,Codigo_Material!$A$2:$C$6426,3,0),1,25))</f>
        <v/>
      </c>
      <c r="L445" s="19"/>
      <c r="M445" s="20"/>
      <c r="N445" s="1"/>
      <c r="O445" s="2"/>
      <c r="P445" s="60"/>
      <c r="Q445" s="60"/>
      <c r="R445" s="60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8" t="str">
        <f t="shared" si="31"/>
        <v>OBRA</v>
      </c>
      <c r="D446" s="58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9" t="str">
        <f>IF(H446="","",MID(VLOOKUP(H446,Codigo_Material!$A$2:$C$9999,2,0),1,30))</f>
        <v/>
      </c>
      <c r="J446" s="59"/>
      <c r="K446" s="53" t="str">
        <f>IF(H446="","",MID(VLOOKUP(H446,Codigo_Material!$A$2:$C$6426,3,0),1,25))</f>
        <v/>
      </c>
      <c r="L446" s="19"/>
      <c r="M446" s="20"/>
      <c r="N446" s="1"/>
      <c r="O446" s="2"/>
      <c r="P446" s="60"/>
      <c r="Q446" s="60"/>
      <c r="R446" s="60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8" t="str">
        <f t="shared" si="31"/>
        <v>OBRA</v>
      </c>
      <c r="D447" s="58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9" t="str">
        <f>IF(H447="","",MID(VLOOKUP(H447,Codigo_Material!$A$2:$C$9999,2,0),1,30))</f>
        <v/>
      </c>
      <c r="J447" s="59"/>
      <c r="K447" s="53" t="str">
        <f>IF(H447="","",MID(VLOOKUP(H447,Codigo_Material!$A$2:$C$6426,3,0),1,25))</f>
        <v/>
      </c>
      <c r="L447" s="19"/>
      <c r="M447" s="20"/>
      <c r="N447" s="1"/>
      <c r="O447" s="2"/>
      <c r="P447" s="60"/>
      <c r="Q447" s="60"/>
      <c r="R447" s="60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8" t="str">
        <f t="shared" si="31"/>
        <v>OBRA</v>
      </c>
      <c r="D448" s="58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9" t="str">
        <f>IF(H448="","",MID(VLOOKUP(H448,Codigo_Material!$A$2:$C$9999,2,0),1,30))</f>
        <v/>
      </c>
      <c r="J448" s="59"/>
      <c r="K448" s="53" t="str">
        <f>IF(H448="","",MID(VLOOKUP(H448,Codigo_Material!$A$2:$C$6426,3,0),1,25))</f>
        <v/>
      </c>
      <c r="L448" s="19"/>
      <c r="M448" s="20"/>
      <c r="N448" s="1"/>
      <c r="O448" s="2"/>
      <c r="P448" s="60"/>
      <c r="Q448" s="60"/>
      <c r="R448" s="60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8" t="str">
        <f t="shared" si="31"/>
        <v>OBRA</v>
      </c>
      <c r="D449" s="58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9" t="str">
        <f>IF(H449="","",MID(VLOOKUP(H449,Codigo_Material!$A$2:$C$9999,2,0),1,30))</f>
        <v/>
      </c>
      <c r="J449" s="59"/>
      <c r="K449" s="53" t="str">
        <f>IF(H449="","",MID(VLOOKUP(H449,Codigo_Material!$A$2:$C$6426,3,0),1,25))</f>
        <v/>
      </c>
      <c r="L449" s="19"/>
      <c r="M449" s="20"/>
      <c r="N449" s="1"/>
      <c r="O449" s="2"/>
      <c r="P449" s="60"/>
      <c r="Q449" s="60"/>
      <c r="R449" s="60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8" t="str">
        <f t="shared" si="31"/>
        <v>OBRA</v>
      </c>
      <c r="D450" s="58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9" t="str">
        <f>IF(H450="","",MID(VLOOKUP(H450,Codigo_Material!$A$2:$C$9999,2,0),1,30))</f>
        <v/>
      </c>
      <c r="J450" s="59"/>
      <c r="K450" s="53" t="str">
        <f>IF(H450="","",MID(VLOOKUP(H450,Codigo_Material!$A$2:$C$6426,3,0),1,25))</f>
        <v/>
      </c>
      <c r="L450" s="19"/>
      <c r="M450" s="20"/>
      <c r="N450" s="1"/>
      <c r="O450" s="2"/>
      <c r="P450" s="60"/>
      <c r="Q450" s="60"/>
      <c r="R450" s="60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8" t="str">
        <f t="shared" si="31"/>
        <v>OBRA</v>
      </c>
      <c r="D451" s="58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9" t="str">
        <f>IF(H451="","",MID(VLOOKUP(H451,Codigo_Material!$A$2:$C$9999,2,0),1,30))</f>
        <v/>
      </c>
      <c r="J451" s="59"/>
      <c r="K451" s="53" t="str">
        <f>IF(H451="","",MID(VLOOKUP(H451,Codigo_Material!$A$2:$C$6426,3,0),1,25))</f>
        <v/>
      </c>
      <c r="L451" s="19"/>
      <c r="M451" s="20"/>
      <c r="N451" s="1"/>
      <c r="O451" s="2"/>
      <c r="P451" s="60"/>
      <c r="Q451" s="60"/>
      <c r="R451" s="60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8" t="str">
        <f t="shared" si="31"/>
        <v>OBRA</v>
      </c>
      <c r="D452" s="58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9" t="str">
        <f>IF(H452="","",MID(VLOOKUP(H452,Codigo_Material!$A$2:$C$9999,2,0),1,30))</f>
        <v/>
      </c>
      <c r="J452" s="59"/>
      <c r="K452" s="53" t="str">
        <f>IF(H452="","",MID(VLOOKUP(H452,Codigo_Material!$A$2:$C$6426,3,0),1,25))</f>
        <v/>
      </c>
      <c r="L452" s="19"/>
      <c r="M452" s="20"/>
      <c r="N452" s="1"/>
      <c r="O452" s="2"/>
      <c r="P452" s="60"/>
      <c r="Q452" s="60"/>
      <c r="R452" s="60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8" t="str">
        <f t="shared" si="31"/>
        <v>OBRA</v>
      </c>
      <c r="D453" s="58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9" t="str">
        <f>IF(H453="","",MID(VLOOKUP(H453,Codigo_Material!$A$2:$C$9999,2,0),1,30))</f>
        <v/>
      </c>
      <c r="J453" s="59"/>
      <c r="K453" s="53" t="str">
        <f>IF(H453="","",MID(VLOOKUP(H453,Codigo_Material!$A$2:$C$6426,3,0),1,25))</f>
        <v/>
      </c>
      <c r="L453" s="19"/>
      <c r="M453" s="20"/>
      <c r="N453" s="1"/>
      <c r="O453" s="2"/>
      <c r="P453" s="60"/>
      <c r="Q453" s="60"/>
      <c r="R453" s="60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8" t="str">
        <f t="shared" si="31"/>
        <v>OBRA</v>
      </c>
      <c r="D454" s="58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9" t="str">
        <f>IF(H454="","",MID(VLOOKUP(H454,Codigo_Material!$A$2:$C$9999,2,0),1,30))</f>
        <v/>
      </c>
      <c r="J454" s="59"/>
      <c r="K454" s="53" t="str">
        <f>IF(H454="","",MID(VLOOKUP(H454,Codigo_Material!$A$2:$C$6426,3,0),1,25))</f>
        <v/>
      </c>
      <c r="L454" s="19"/>
      <c r="M454" s="20"/>
      <c r="N454" s="1"/>
      <c r="O454" s="2"/>
      <c r="P454" s="60"/>
      <c r="Q454" s="60"/>
      <c r="R454" s="60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8" t="str">
        <f t="shared" si="31"/>
        <v>OBRA</v>
      </c>
      <c r="D455" s="58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9" t="str">
        <f>IF(H455="","",MID(VLOOKUP(H455,Codigo_Material!$A$2:$C$9999,2,0),1,30))</f>
        <v/>
      </c>
      <c r="J455" s="59"/>
      <c r="K455" s="53" t="str">
        <f>IF(H455="","",MID(VLOOKUP(H455,Codigo_Material!$A$2:$C$6426,3,0),1,25))</f>
        <v/>
      </c>
      <c r="L455" s="19"/>
      <c r="M455" s="20"/>
      <c r="N455" s="1"/>
      <c r="O455" s="2"/>
      <c r="P455" s="60"/>
      <c r="Q455" s="60"/>
      <c r="R455" s="60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8" t="str">
        <f t="shared" si="31"/>
        <v>OBRA</v>
      </c>
      <c r="D456" s="58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9" t="str">
        <f>IF(H456="","",MID(VLOOKUP(H456,Codigo_Material!$A$2:$C$9999,2,0),1,30))</f>
        <v/>
      </c>
      <c r="J456" s="59"/>
      <c r="K456" s="53" t="str">
        <f>IF(H456="","",MID(VLOOKUP(H456,Codigo_Material!$A$2:$C$6426,3,0),1,25))</f>
        <v/>
      </c>
      <c r="L456" s="19"/>
      <c r="M456" s="20"/>
      <c r="N456" s="1"/>
      <c r="O456" s="2"/>
      <c r="P456" s="60"/>
      <c r="Q456" s="60"/>
      <c r="R456" s="60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8" t="str">
        <f t="shared" si="31"/>
        <v>OBRA</v>
      </c>
      <c r="D457" s="58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9" t="str">
        <f>IF(H457="","",MID(VLOOKUP(H457,Codigo_Material!$A$2:$C$9999,2,0),1,30))</f>
        <v/>
      </c>
      <c r="J457" s="59"/>
      <c r="K457" s="53" t="str">
        <f>IF(H457="","",MID(VLOOKUP(H457,Codigo_Material!$A$2:$C$6426,3,0),1,25))</f>
        <v/>
      </c>
      <c r="L457" s="19"/>
      <c r="M457" s="20"/>
      <c r="N457" s="1"/>
      <c r="O457" s="2"/>
      <c r="P457" s="60"/>
      <c r="Q457" s="60"/>
      <c r="R457" s="60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8" t="str">
        <f t="shared" ref="C458:C500" si="36">IF($F$5="","",$F$5)</f>
        <v>OBRA</v>
      </c>
      <c r="D458" s="58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9" t="str">
        <f>IF(H458="","",MID(VLOOKUP(H458,Codigo_Material!$A$2:$C$9999,2,0),1,30))</f>
        <v/>
      </c>
      <c r="J458" s="59"/>
      <c r="K458" s="53" t="str">
        <f>IF(H458="","",MID(VLOOKUP(H458,Codigo_Material!$A$2:$C$6426,3,0),1,25))</f>
        <v/>
      </c>
      <c r="L458" s="19"/>
      <c r="M458" s="20"/>
      <c r="N458" s="1"/>
      <c r="O458" s="2"/>
      <c r="P458" s="60"/>
      <c r="Q458" s="60"/>
      <c r="R458" s="60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8" t="str">
        <f t="shared" si="36"/>
        <v>OBRA</v>
      </c>
      <c r="D459" s="58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9" t="str">
        <f>IF(H459="","",MID(VLOOKUP(H459,Codigo_Material!$A$2:$C$9999,2,0),1,30))</f>
        <v/>
      </c>
      <c r="J459" s="59"/>
      <c r="K459" s="53" t="str">
        <f>IF(H459="","",MID(VLOOKUP(H459,Codigo_Material!$A$2:$C$6426,3,0),1,25))</f>
        <v/>
      </c>
      <c r="L459" s="19"/>
      <c r="M459" s="20"/>
      <c r="N459" s="1"/>
      <c r="O459" s="2"/>
      <c r="P459" s="60"/>
      <c r="Q459" s="60"/>
      <c r="R459" s="60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8" t="str">
        <f t="shared" si="36"/>
        <v>OBRA</v>
      </c>
      <c r="D460" s="58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9" t="str">
        <f>IF(H460="","",MID(VLOOKUP(H460,Codigo_Material!$A$2:$C$9999,2,0),1,30))</f>
        <v/>
      </c>
      <c r="J460" s="59"/>
      <c r="K460" s="53" t="str">
        <f>IF(H460="","",MID(VLOOKUP(H460,Codigo_Material!$A$2:$C$6426,3,0),1,25))</f>
        <v/>
      </c>
      <c r="L460" s="19"/>
      <c r="M460" s="20"/>
      <c r="N460" s="1"/>
      <c r="O460" s="2"/>
      <c r="P460" s="60"/>
      <c r="Q460" s="60"/>
      <c r="R460" s="60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8" t="str">
        <f t="shared" si="36"/>
        <v>OBRA</v>
      </c>
      <c r="D461" s="58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9" t="str">
        <f>IF(H461="","",MID(VLOOKUP(H461,Codigo_Material!$A$2:$C$9999,2,0),1,30))</f>
        <v/>
      </c>
      <c r="J461" s="59"/>
      <c r="K461" s="53" t="str">
        <f>IF(H461="","",MID(VLOOKUP(H461,Codigo_Material!$A$2:$C$6426,3,0),1,25))</f>
        <v/>
      </c>
      <c r="L461" s="19"/>
      <c r="M461" s="20"/>
      <c r="N461" s="1"/>
      <c r="O461" s="2"/>
      <c r="P461" s="60"/>
      <c r="Q461" s="60"/>
      <c r="R461" s="60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8" t="str">
        <f t="shared" si="36"/>
        <v>OBRA</v>
      </c>
      <c r="D462" s="58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9" t="str">
        <f>IF(H462="","",MID(VLOOKUP(H462,Codigo_Material!$A$2:$C$9999,2,0),1,30))</f>
        <v/>
      </c>
      <c r="J462" s="59"/>
      <c r="K462" s="53" t="str">
        <f>IF(H462="","",MID(VLOOKUP(H462,Codigo_Material!$A$2:$C$6426,3,0),1,25))</f>
        <v/>
      </c>
      <c r="L462" s="19"/>
      <c r="M462" s="20"/>
      <c r="N462" s="1"/>
      <c r="O462" s="2"/>
      <c r="P462" s="60"/>
      <c r="Q462" s="60"/>
      <c r="R462" s="60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8" t="str">
        <f t="shared" si="36"/>
        <v>OBRA</v>
      </c>
      <c r="D463" s="58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9" t="str">
        <f>IF(H463="","",MID(VLOOKUP(H463,Codigo_Material!$A$2:$C$9999,2,0),1,30))</f>
        <v/>
      </c>
      <c r="J463" s="59"/>
      <c r="K463" s="53" t="str">
        <f>IF(H463="","",MID(VLOOKUP(H463,Codigo_Material!$A$2:$C$6426,3,0),1,25))</f>
        <v/>
      </c>
      <c r="L463" s="19"/>
      <c r="M463" s="20"/>
      <c r="N463" s="1"/>
      <c r="O463" s="2"/>
      <c r="P463" s="60"/>
      <c r="Q463" s="60"/>
      <c r="R463" s="60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8" t="str">
        <f t="shared" si="36"/>
        <v>OBRA</v>
      </c>
      <c r="D464" s="58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9" t="str">
        <f>IF(H464="","",MID(VLOOKUP(H464,Codigo_Material!$A$2:$C$9999,2,0),1,30))</f>
        <v/>
      </c>
      <c r="J464" s="59"/>
      <c r="K464" s="53" t="str">
        <f>IF(H464="","",MID(VLOOKUP(H464,Codigo_Material!$A$2:$C$6426,3,0),1,25))</f>
        <v/>
      </c>
      <c r="L464" s="19"/>
      <c r="M464" s="20"/>
      <c r="N464" s="1"/>
      <c r="O464" s="2"/>
      <c r="P464" s="60"/>
      <c r="Q464" s="60"/>
      <c r="R464" s="60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8" t="str">
        <f t="shared" si="36"/>
        <v>OBRA</v>
      </c>
      <c r="D465" s="58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9" t="str">
        <f>IF(H465="","",MID(VLOOKUP(H465,Codigo_Material!$A$2:$C$9999,2,0),1,30))</f>
        <v/>
      </c>
      <c r="J465" s="59"/>
      <c r="K465" s="53" t="str">
        <f>IF(H465="","",MID(VLOOKUP(H465,Codigo_Material!$A$2:$C$6426,3,0),1,25))</f>
        <v/>
      </c>
      <c r="L465" s="19"/>
      <c r="M465" s="20"/>
      <c r="N465" s="1"/>
      <c r="O465" s="2"/>
      <c r="P465" s="60"/>
      <c r="Q465" s="60"/>
      <c r="R465" s="60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8" t="str">
        <f t="shared" si="36"/>
        <v>OBRA</v>
      </c>
      <c r="D466" s="58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9" t="str">
        <f>IF(H466="","",MID(VLOOKUP(H466,Codigo_Material!$A$2:$C$9999,2,0),1,30))</f>
        <v/>
      </c>
      <c r="J466" s="59"/>
      <c r="K466" s="53" t="str">
        <f>IF(H466="","",MID(VLOOKUP(H466,Codigo_Material!$A$2:$C$6426,3,0),1,25))</f>
        <v/>
      </c>
      <c r="L466" s="19"/>
      <c r="M466" s="20"/>
      <c r="N466" s="1"/>
      <c r="O466" s="2"/>
      <c r="P466" s="60"/>
      <c r="Q466" s="60"/>
      <c r="R466" s="60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8" t="str">
        <f t="shared" si="36"/>
        <v>OBRA</v>
      </c>
      <c r="D467" s="58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9" t="str">
        <f>IF(H467="","",MID(VLOOKUP(H467,Codigo_Material!$A$2:$C$9999,2,0),1,30))</f>
        <v/>
      </c>
      <c r="J467" s="59"/>
      <c r="K467" s="53" t="str">
        <f>IF(H467="","",MID(VLOOKUP(H467,Codigo_Material!$A$2:$C$6426,3,0),1,25))</f>
        <v/>
      </c>
      <c r="L467" s="19"/>
      <c r="M467" s="20"/>
      <c r="N467" s="1"/>
      <c r="O467" s="2"/>
      <c r="P467" s="60"/>
      <c r="Q467" s="60"/>
      <c r="R467" s="60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8" t="str">
        <f t="shared" si="36"/>
        <v>OBRA</v>
      </c>
      <c r="D468" s="58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9" t="str">
        <f>IF(H468="","",MID(VLOOKUP(H468,Codigo_Material!$A$2:$C$9999,2,0),1,30))</f>
        <v/>
      </c>
      <c r="J468" s="59"/>
      <c r="K468" s="53" t="str">
        <f>IF(H468="","",MID(VLOOKUP(H468,Codigo_Material!$A$2:$C$6426,3,0),1,25))</f>
        <v/>
      </c>
      <c r="L468" s="19"/>
      <c r="M468" s="20"/>
      <c r="N468" s="1"/>
      <c r="O468" s="2"/>
      <c r="P468" s="60"/>
      <c r="Q468" s="60"/>
      <c r="R468" s="60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8" t="str">
        <f t="shared" si="36"/>
        <v>OBRA</v>
      </c>
      <c r="D469" s="58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9" t="str">
        <f>IF(H469="","",MID(VLOOKUP(H469,Codigo_Material!$A$2:$C$9999,2,0),1,30))</f>
        <v/>
      </c>
      <c r="J469" s="59"/>
      <c r="K469" s="53" t="str">
        <f>IF(H469="","",MID(VLOOKUP(H469,Codigo_Material!$A$2:$C$6426,3,0),1,25))</f>
        <v/>
      </c>
      <c r="L469" s="19"/>
      <c r="M469" s="20"/>
      <c r="N469" s="1"/>
      <c r="O469" s="2"/>
      <c r="P469" s="60"/>
      <c r="Q469" s="60"/>
      <c r="R469" s="60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8" t="str">
        <f t="shared" si="36"/>
        <v>OBRA</v>
      </c>
      <c r="D470" s="58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9" t="str">
        <f>IF(H470="","",MID(VLOOKUP(H470,Codigo_Material!$A$2:$C$9999,2,0),1,30))</f>
        <v/>
      </c>
      <c r="J470" s="59"/>
      <c r="K470" s="53" t="str">
        <f>IF(H470="","",MID(VLOOKUP(H470,Codigo_Material!$A$2:$C$6426,3,0),1,25))</f>
        <v/>
      </c>
      <c r="L470" s="19"/>
      <c r="M470" s="20"/>
      <c r="N470" s="1"/>
      <c r="O470" s="2"/>
      <c r="P470" s="60"/>
      <c r="Q470" s="60"/>
      <c r="R470" s="60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8" t="str">
        <f t="shared" si="36"/>
        <v>OBRA</v>
      </c>
      <c r="D471" s="58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9" t="str">
        <f>IF(H471="","",MID(VLOOKUP(H471,Codigo_Material!$A$2:$C$9999,2,0),1,30))</f>
        <v/>
      </c>
      <c r="J471" s="59"/>
      <c r="K471" s="53" t="str">
        <f>IF(H471="","",MID(VLOOKUP(H471,Codigo_Material!$A$2:$C$6426,3,0),1,25))</f>
        <v/>
      </c>
      <c r="L471" s="19"/>
      <c r="M471" s="20"/>
      <c r="N471" s="1"/>
      <c r="O471" s="2"/>
      <c r="P471" s="60"/>
      <c r="Q471" s="60"/>
      <c r="R471" s="60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8" t="str">
        <f t="shared" si="36"/>
        <v>OBRA</v>
      </c>
      <c r="D472" s="58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9" t="str">
        <f>IF(H472="","",MID(VLOOKUP(H472,Codigo_Material!$A$2:$C$9999,2,0),1,30))</f>
        <v/>
      </c>
      <c r="J472" s="59"/>
      <c r="K472" s="53" t="str">
        <f>IF(H472="","",MID(VLOOKUP(H472,Codigo_Material!$A$2:$C$6426,3,0),1,25))</f>
        <v/>
      </c>
      <c r="L472" s="19"/>
      <c r="M472" s="20"/>
      <c r="N472" s="1"/>
      <c r="O472" s="2"/>
      <c r="P472" s="60"/>
      <c r="Q472" s="60"/>
      <c r="R472" s="60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8" t="str">
        <f t="shared" si="36"/>
        <v>OBRA</v>
      </c>
      <c r="D473" s="58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9" t="str">
        <f>IF(H473="","",MID(VLOOKUP(H473,Codigo_Material!$A$2:$C$9999,2,0),1,30))</f>
        <v/>
      </c>
      <c r="J473" s="59"/>
      <c r="K473" s="53" t="str">
        <f>IF(H473="","",MID(VLOOKUP(H473,Codigo_Material!$A$2:$C$6426,3,0),1,25))</f>
        <v/>
      </c>
      <c r="L473" s="19"/>
      <c r="M473" s="20"/>
      <c r="N473" s="1"/>
      <c r="O473" s="2"/>
      <c r="P473" s="60"/>
      <c r="Q473" s="60"/>
      <c r="R473" s="60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8" t="str">
        <f t="shared" si="36"/>
        <v>OBRA</v>
      </c>
      <c r="D474" s="58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9" t="str">
        <f>IF(H474="","",MID(VLOOKUP(H474,Codigo_Material!$A$2:$C$9999,2,0),1,30))</f>
        <v/>
      </c>
      <c r="J474" s="59"/>
      <c r="K474" s="53" t="str">
        <f>IF(H474="","",MID(VLOOKUP(H474,Codigo_Material!$A$2:$C$6426,3,0),1,25))</f>
        <v/>
      </c>
      <c r="L474" s="19"/>
      <c r="M474" s="20"/>
      <c r="N474" s="1"/>
      <c r="O474" s="2"/>
      <c r="P474" s="60"/>
      <c r="Q474" s="60"/>
      <c r="R474" s="60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8" t="str">
        <f t="shared" si="36"/>
        <v>OBRA</v>
      </c>
      <c r="D475" s="58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9" t="str">
        <f>IF(H475="","",MID(VLOOKUP(H475,Codigo_Material!$A$2:$C$9999,2,0),1,30))</f>
        <v/>
      </c>
      <c r="J475" s="59"/>
      <c r="K475" s="53" t="str">
        <f>IF(H475="","",MID(VLOOKUP(H475,Codigo_Material!$A$2:$C$6426,3,0),1,25))</f>
        <v/>
      </c>
      <c r="L475" s="19"/>
      <c r="M475" s="20"/>
      <c r="N475" s="1"/>
      <c r="O475" s="2"/>
      <c r="P475" s="60"/>
      <c r="Q475" s="60"/>
      <c r="R475" s="60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8" t="str">
        <f t="shared" si="36"/>
        <v>OBRA</v>
      </c>
      <c r="D476" s="58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9" t="str">
        <f>IF(H476="","",MID(VLOOKUP(H476,Codigo_Material!$A$2:$C$9999,2,0),1,30))</f>
        <v/>
      </c>
      <c r="J476" s="59"/>
      <c r="K476" s="53" t="str">
        <f>IF(H476="","",MID(VLOOKUP(H476,Codigo_Material!$A$2:$C$6426,3,0),1,25))</f>
        <v/>
      </c>
      <c r="L476" s="19"/>
      <c r="M476" s="20"/>
      <c r="N476" s="1"/>
      <c r="O476" s="2"/>
      <c r="P476" s="60"/>
      <c r="Q476" s="60"/>
      <c r="R476" s="60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8" t="str">
        <f t="shared" si="36"/>
        <v>OBRA</v>
      </c>
      <c r="D477" s="58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9" t="str">
        <f>IF(H477="","",MID(VLOOKUP(H477,Codigo_Material!$A$2:$C$9999,2,0),1,30))</f>
        <v/>
      </c>
      <c r="J477" s="59"/>
      <c r="K477" s="53" t="str">
        <f>IF(H477="","",MID(VLOOKUP(H477,Codigo_Material!$A$2:$C$6426,3,0),1,25))</f>
        <v/>
      </c>
      <c r="L477" s="19"/>
      <c r="M477" s="20"/>
      <c r="N477" s="1"/>
      <c r="O477" s="2"/>
      <c r="P477" s="60"/>
      <c r="Q477" s="60"/>
      <c r="R477" s="60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8" t="str">
        <f t="shared" si="36"/>
        <v>OBRA</v>
      </c>
      <c r="D478" s="58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9" t="str">
        <f>IF(H478="","",MID(VLOOKUP(H478,Codigo_Material!$A$2:$C$9999,2,0),1,30))</f>
        <v/>
      </c>
      <c r="J478" s="59"/>
      <c r="K478" s="53" t="str">
        <f>IF(H478="","",MID(VLOOKUP(H478,Codigo_Material!$A$2:$C$6426,3,0),1,25))</f>
        <v/>
      </c>
      <c r="L478" s="19"/>
      <c r="M478" s="20"/>
      <c r="N478" s="1"/>
      <c r="O478" s="2"/>
      <c r="P478" s="60"/>
      <c r="Q478" s="60"/>
      <c r="R478" s="60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8" t="str">
        <f t="shared" si="36"/>
        <v>OBRA</v>
      </c>
      <c r="D479" s="58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9" t="str">
        <f>IF(H479="","",MID(VLOOKUP(H479,Codigo_Material!$A$2:$C$9999,2,0),1,30))</f>
        <v/>
      </c>
      <c r="J479" s="59"/>
      <c r="K479" s="53" t="str">
        <f>IF(H479="","",MID(VLOOKUP(H479,Codigo_Material!$A$2:$C$6426,3,0),1,25))</f>
        <v/>
      </c>
      <c r="L479" s="19"/>
      <c r="M479" s="20"/>
      <c r="N479" s="1"/>
      <c r="O479" s="2"/>
      <c r="P479" s="60"/>
      <c r="Q479" s="60"/>
      <c r="R479" s="60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8" t="str">
        <f t="shared" si="36"/>
        <v>OBRA</v>
      </c>
      <c r="D480" s="58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9" t="str">
        <f>IF(H480="","",MID(VLOOKUP(H480,Codigo_Material!$A$2:$C$9999,2,0),1,30))</f>
        <v/>
      </c>
      <c r="J480" s="59"/>
      <c r="K480" s="53" t="str">
        <f>IF(H480="","",MID(VLOOKUP(H480,Codigo_Material!$A$2:$C$6426,3,0),1,25))</f>
        <v/>
      </c>
      <c r="L480" s="19"/>
      <c r="M480" s="20"/>
      <c r="N480" s="1"/>
      <c r="O480" s="2"/>
      <c r="P480" s="60"/>
      <c r="Q480" s="60"/>
      <c r="R480" s="60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8" t="str">
        <f t="shared" si="36"/>
        <v>OBRA</v>
      </c>
      <c r="D481" s="58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9" t="str">
        <f>IF(H481="","",MID(VLOOKUP(H481,Codigo_Material!$A$2:$C$9999,2,0),1,30))</f>
        <v/>
      </c>
      <c r="J481" s="59"/>
      <c r="K481" s="53" t="str">
        <f>IF(H481="","",MID(VLOOKUP(H481,Codigo_Material!$A$2:$C$6426,3,0),1,25))</f>
        <v/>
      </c>
      <c r="L481" s="19"/>
      <c r="M481" s="20"/>
      <c r="N481" s="1"/>
      <c r="O481" s="2"/>
      <c r="P481" s="60"/>
      <c r="Q481" s="60"/>
      <c r="R481" s="60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8" t="str">
        <f t="shared" si="36"/>
        <v>OBRA</v>
      </c>
      <c r="D482" s="58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9" t="str">
        <f>IF(H482="","",MID(VLOOKUP(H482,Codigo_Material!$A$2:$C$9999,2,0),1,30))</f>
        <v/>
      </c>
      <c r="J482" s="59"/>
      <c r="K482" s="53" t="str">
        <f>IF(H482="","",MID(VLOOKUP(H482,Codigo_Material!$A$2:$C$6426,3,0),1,25))</f>
        <v/>
      </c>
      <c r="L482" s="19"/>
      <c r="M482" s="20"/>
      <c r="N482" s="1"/>
      <c r="O482" s="2"/>
      <c r="P482" s="60"/>
      <c r="Q482" s="60"/>
      <c r="R482" s="60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8" t="str">
        <f t="shared" si="36"/>
        <v>OBRA</v>
      </c>
      <c r="D483" s="58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9" t="str">
        <f>IF(H483="","",MID(VLOOKUP(H483,Codigo_Material!$A$2:$C$9999,2,0),1,30))</f>
        <v/>
      </c>
      <c r="J483" s="59"/>
      <c r="K483" s="53" t="str">
        <f>IF(H483="","",MID(VLOOKUP(H483,Codigo_Material!$A$2:$C$6426,3,0),1,25))</f>
        <v/>
      </c>
      <c r="L483" s="19"/>
      <c r="M483" s="20"/>
      <c r="N483" s="1"/>
      <c r="O483" s="2"/>
      <c r="P483" s="60"/>
      <c r="Q483" s="60"/>
      <c r="R483" s="60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8" t="str">
        <f t="shared" si="36"/>
        <v>OBRA</v>
      </c>
      <c r="D484" s="58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9" t="str">
        <f>IF(H484="","",MID(VLOOKUP(H484,Codigo_Material!$A$2:$C$9999,2,0),1,30))</f>
        <v/>
      </c>
      <c r="J484" s="59"/>
      <c r="K484" s="53" t="str">
        <f>IF(H484="","",MID(VLOOKUP(H484,Codigo_Material!$A$2:$C$6426,3,0),1,25))</f>
        <v/>
      </c>
      <c r="L484" s="19"/>
      <c r="M484" s="20"/>
      <c r="N484" s="1"/>
      <c r="O484" s="2"/>
      <c r="P484" s="60"/>
      <c r="Q484" s="60"/>
      <c r="R484" s="60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8" t="str">
        <f t="shared" si="36"/>
        <v>OBRA</v>
      </c>
      <c r="D485" s="58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9" t="str">
        <f>IF(H485="","",MID(VLOOKUP(H485,Codigo_Material!$A$2:$C$9999,2,0),1,30))</f>
        <v/>
      </c>
      <c r="J485" s="59"/>
      <c r="K485" s="53" t="str">
        <f>IF(H485="","",MID(VLOOKUP(H485,Codigo_Material!$A$2:$C$6426,3,0),1,25))</f>
        <v/>
      </c>
      <c r="L485" s="19"/>
      <c r="M485" s="20"/>
      <c r="N485" s="1"/>
      <c r="O485" s="2"/>
      <c r="P485" s="60"/>
      <c r="Q485" s="60"/>
      <c r="R485" s="60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8" t="str">
        <f t="shared" si="36"/>
        <v>OBRA</v>
      </c>
      <c r="D486" s="58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9" t="str">
        <f>IF(H486="","",MID(VLOOKUP(H486,Codigo_Material!$A$2:$C$9999,2,0),1,30))</f>
        <v/>
      </c>
      <c r="J486" s="59"/>
      <c r="K486" s="53" t="str">
        <f>IF(H486="","",MID(VLOOKUP(H486,Codigo_Material!$A$2:$C$6426,3,0),1,25))</f>
        <v/>
      </c>
      <c r="L486" s="19"/>
      <c r="M486" s="20"/>
      <c r="N486" s="1"/>
      <c r="O486" s="2"/>
      <c r="P486" s="60"/>
      <c r="Q486" s="60"/>
      <c r="R486" s="60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8" t="str">
        <f t="shared" si="36"/>
        <v>OBRA</v>
      </c>
      <c r="D487" s="58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9" t="str">
        <f>IF(H487="","",MID(VLOOKUP(H487,Codigo_Material!$A$2:$C$9999,2,0),1,30))</f>
        <v/>
      </c>
      <c r="J487" s="59"/>
      <c r="K487" s="53" t="str">
        <f>IF(H487="","",MID(VLOOKUP(H487,Codigo_Material!$A$2:$C$6426,3,0),1,25))</f>
        <v/>
      </c>
      <c r="L487" s="19"/>
      <c r="M487" s="20"/>
      <c r="N487" s="1"/>
      <c r="O487" s="2"/>
      <c r="P487" s="60"/>
      <c r="Q487" s="60"/>
      <c r="R487" s="60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8" t="str">
        <f t="shared" si="36"/>
        <v>OBRA</v>
      </c>
      <c r="D488" s="58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9" t="str">
        <f>IF(H488="","",MID(VLOOKUP(H488,Codigo_Material!$A$2:$C$9999,2,0),1,30))</f>
        <v/>
      </c>
      <c r="J488" s="59"/>
      <c r="K488" s="53" t="str">
        <f>IF(H488="","",MID(VLOOKUP(H488,Codigo_Material!$A$2:$C$6426,3,0),1,25))</f>
        <v/>
      </c>
      <c r="L488" s="19"/>
      <c r="M488" s="20"/>
      <c r="N488" s="1"/>
      <c r="O488" s="2"/>
      <c r="P488" s="60"/>
      <c r="Q488" s="60"/>
      <c r="R488" s="60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8" t="str">
        <f t="shared" si="36"/>
        <v>OBRA</v>
      </c>
      <c r="D489" s="58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9" t="str">
        <f>IF(H489="","",MID(VLOOKUP(H489,Codigo_Material!$A$2:$C$9999,2,0),1,30))</f>
        <v/>
      </c>
      <c r="J489" s="59"/>
      <c r="K489" s="53" t="str">
        <f>IF(H489="","",MID(VLOOKUP(H489,Codigo_Material!$A$2:$C$6426,3,0),1,25))</f>
        <v/>
      </c>
      <c r="L489" s="19"/>
      <c r="M489" s="20"/>
      <c r="N489" s="1"/>
      <c r="O489" s="2"/>
      <c r="P489" s="60"/>
      <c r="Q489" s="60"/>
      <c r="R489" s="60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8" t="str">
        <f t="shared" si="36"/>
        <v>OBRA</v>
      </c>
      <c r="D490" s="58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9" t="str">
        <f>IF(H490="","",MID(VLOOKUP(H490,Codigo_Material!$A$2:$C$9999,2,0),1,30))</f>
        <v/>
      </c>
      <c r="J490" s="59"/>
      <c r="K490" s="53" t="str">
        <f>IF(H490="","",MID(VLOOKUP(H490,Codigo_Material!$A$2:$C$6426,3,0),1,25))</f>
        <v/>
      </c>
      <c r="L490" s="19"/>
      <c r="M490" s="20"/>
      <c r="N490" s="1"/>
      <c r="O490" s="2"/>
      <c r="P490" s="60"/>
      <c r="Q490" s="60"/>
      <c r="R490" s="60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8" t="str">
        <f t="shared" si="36"/>
        <v>OBRA</v>
      </c>
      <c r="D491" s="58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9" t="str">
        <f>IF(H491="","",MID(VLOOKUP(H491,Codigo_Material!$A$2:$C$9999,2,0),1,30))</f>
        <v/>
      </c>
      <c r="J491" s="59"/>
      <c r="K491" s="53" t="str">
        <f>IF(H491="","",MID(VLOOKUP(H491,Codigo_Material!$A$2:$C$6426,3,0),1,25))</f>
        <v/>
      </c>
      <c r="L491" s="19"/>
      <c r="M491" s="20"/>
      <c r="N491" s="1"/>
      <c r="O491" s="2"/>
      <c r="P491" s="60"/>
      <c r="Q491" s="60"/>
      <c r="R491" s="60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8" t="str">
        <f t="shared" si="36"/>
        <v>OBRA</v>
      </c>
      <c r="D492" s="58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9" t="str">
        <f>IF(H492="","",MID(VLOOKUP(H492,Codigo_Material!$A$2:$C$9999,2,0),1,30))</f>
        <v/>
      </c>
      <c r="J492" s="59"/>
      <c r="K492" s="53" t="str">
        <f>IF(H492="","",MID(VLOOKUP(H492,Codigo_Material!$A$2:$C$6426,3,0),1,25))</f>
        <v/>
      </c>
      <c r="L492" s="19"/>
      <c r="M492" s="20"/>
      <c r="N492" s="1"/>
      <c r="O492" s="2"/>
      <c r="P492" s="60"/>
      <c r="Q492" s="60"/>
      <c r="R492" s="60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8" t="str">
        <f t="shared" si="36"/>
        <v>OBRA</v>
      </c>
      <c r="D493" s="58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9" t="str">
        <f>IF(H493="","",MID(VLOOKUP(H493,Codigo_Material!$A$2:$C$9999,2,0),1,30))</f>
        <v/>
      </c>
      <c r="J493" s="59"/>
      <c r="K493" s="53" t="str">
        <f>IF(H493="","",MID(VLOOKUP(H493,Codigo_Material!$A$2:$C$6426,3,0),1,25))</f>
        <v/>
      </c>
      <c r="L493" s="19"/>
      <c r="M493" s="20"/>
      <c r="N493" s="1"/>
      <c r="O493" s="2"/>
      <c r="P493" s="60"/>
      <c r="Q493" s="60"/>
      <c r="R493" s="60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8" t="str">
        <f t="shared" si="36"/>
        <v>OBRA</v>
      </c>
      <c r="D494" s="58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9" t="str">
        <f>IF(H494="","",MID(VLOOKUP(H494,Codigo_Material!$A$2:$C$9999,2,0),1,30))</f>
        <v/>
      </c>
      <c r="J494" s="59"/>
      <c r="K494" s="53" t="str">
        <f>IF(H494="","",MID(VLOOKUP(H494,Codigo_Material!$A$2:$C$6426,3,0),1,25))</f>
        <v/>
      </c>
      <c r="L494" s="19"/>
      <c r="M494" s="20"/>
      <c r="N494" s="1"/>
      <c r="O494" s="2"/>
      <c r="P494" s="60"/>
      <c r="Q494" s="60"/>
      <c r="R494" s="60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8" t="str">
        <f t="shared" si="36"/>
        <v>OBRA</v>
      </c>
      <c r="D495" s="58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9" t="str">
        <f>IF(H495="","",MID(VLOOKUP(H495,Codigo_Material!$A$2:$C$9999,2,0),1,30))</f>
        <v/>
      </c>
      <c r="J495" s="59"/>
      <c r="K495" s="53" t="str">
        <f>IF(H495="","",MID(VLOOKUP(H495,Codigo_Material!$A$2:$C$6426,3,0),1,25))</f>
        <v/>
      </c>
      <c r="L495" s="19"/>
      <c r="M495" s="20"/>
      <c r="N495" s="1"/>
      <c r="O495" s="2"/>
      <c r="P495" s="60"/>
      <c r="Q495" s="60"/>
      <c r="R495" s="60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8" t="str">
        <f t="shared" si="36"/>
        <v>OBRA</v>
      </c>
      <c r="D496" s="58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9" t="str">
        <f>IF(H496="","",MID(VLOOKUP(H496,Codigo_Material!$A$2:$C$9999,2,0),1,30))</f>
        <v/>
      </c>
      <c r="J496" s="59"/>
      <c r="K496" s="53" t="str">
        <f>IF(H496="","",MID(VLOOKUP(H496,Codigo_Material!$A$2:$C$6426,3,0),1,25))</f>
        <v/>
      </c>
      <c r="L496" s="19"/>
      <c r="M496" s="20"/>
      <c r="N496" s="1"/>
      <c r="O496" s="2"/>
      <c r="P496" s="60"/>
      <c r="Q496" s="60"/>
      <c r="R496" s="60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8" t="str">
        <f t="shared" si="36"/>
        <v>OBRA</v>
      </c>
      <c r="D497" s="58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9" t="str">
        <f>IF(H497="","",MID(VLOOKUP(H497,Codigo_Material!$A$2:$C$9999,2,0),1,30))</f>
        <v/>
      </c>
      <c r="J497" s="59"/>
      <c r="K497" s="53" t="str">
        <f>IF(H497="","",MID(VLOOKUP(H497,Codigo_Material!$A$2:$C$6426,3,0),1,25))</f>
        <v/>
      </c>
      <c r="L497" s="19"/>
      <c r="M497" s="20"/>
      <c r="N497" s="1"/>
      <c r="O497" s="2"/>
      <c r="P497" s="60"/>
      <c r="Q497" s="60"/>
      <c r="R497" s="60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8" t="str">
        <f t="shared" si="36"/>
        <v>OBRA</v>
      </c>
      <c r="D498" s="58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9" t="str">
        <f>IF(H498="","",MID(VLOOKUP(H498,Codigo_Material!$A$2:$C$9999,2,0),1,30))</f>
        <v/>
      </c>
      <c r="J498" s="59"/>
      <c r="K498" s="53" t="str">
        <f>IF(H498="","",MID(VLOOKUP(H498,Codigo_Material!$A$2:$C$6426,3,0),1,25))</f>
        <v/>
      </c>
      <c r="L498" s="19"/>
      <c r="M498" s="20"/>
      <c r="N498" s="1"/>
      <c r="O498" s="2"/>
      <c r="P498" s="60"/>
      <c r="Q498" s="60"/>
      <c r="R498" s="60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8" t="str">
        <f t="shared" si="36"/>
        <v>OBRA</v>
      </c>
      <c r="D499" s="58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9" t="str">
        <f>IF(H499="","",MID(VLOOKUP(H499,Codigo_Material!$A$2:$C$9999,2,0),1,30))</f>
        <v/>
      </c>
      <c r="J499" s="59"/>
      <c r="K499" s="53" t="str">
        <f>IF(H499="","",MID(VLOOKUP(H499,Codigo_Material!$A$2:$C$6426,3,0),1,25))</f>
        <v/>
      </c>
      <c r="L499" s="19"/>
      <c r="M499" s="20"/>
      <c r="N499" s="1"/>
      <c r="O499" s="2"/>
      <c r="P499" s="60"/>
      <c r="Q499" s="60"/>
      <c r="R499" s="60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8" t="str">
        <f t="shared" si="36"/>
        <v>OBRA</v>
      </c>
      <c r="D500" s="58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9" t="str">
        <f>IF(H500="","",MID(VLOOKUP(H500,Codigo_Material!$A$2:$C$9999,2,0),1,30))</f>
        <v/>
      </c>
      <c r="J500" s="59"/>
      <c r="K500" s="53" t="str">
        <f>IF(H500="","",MID(VLOOKUP(H500,Codigo_Material!$A$2:$C$6426,3,0),1,25))</f>
        <v/>
      </c>
      <c r="L500" s="19"/>
      <c r="M500" s="20"/>
      <c r="N500" s="1"/>
      <c r="O500" s="2"/>
      <c r="P500" s="60"/>
      <c r="Q500" s="60"/>
      <c r="R500" s="60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F84D22D-3DB8-44BD-9814-2319852DEA1C}">
            <xm:f>NOT(ISNA(VLOOKUP(I10,Materiais_COMPEL!B:B,1,0)))</xm:f>
            <x14:dxf>
              <fill>
                <patternFill>
                  <bgColor rgb="FFD9EBCD"/>
                </patternFill>
              </fill>
            </x14:dxf>
          </x14:cfRule>
          <xm:sqref>I10:J500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26"/>
  <sheetViews>
    <sheetView topLeftCell="A6703" workbookViewId="0">
      <selection activeCell="C6726" sqref="C6726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6226</v>
      </c>
      <c r="C6427" s="52" t="e">
        <v>#N/A</v>
      </c>
    </row>
    <row r="6428" spans="1:3" x14ac:dyDescent="0.25">
      <c r="A6428" s="52">
        <v>4543588</v>
      </c>
      <c r="B6428" s="52" t="s">
        <v>6227</v>
      </c>
      <c r="C6428" s="52" t="e">
        <v>#N/A</v>
      </c>
    </row>
    <row r="6429" spans="1:3" x14ac:dyDescent="0.25">
      <c r="A6429" s="52">
        <v>4543589</v>
      </c>
      <c r="B6429" s="52" t="s">
        <v>6228</v>
      </c>
      <c r="C6429" s="52" t="e">
        <v>#N/A</v>
      </c>
    </row>
    <row r="6430" spans="1:3" x14ac:dyDescent="0.25">
      <c r="A6430" s="52">
        <v>4543593</v>
      </c>
      <c r="B6430" s="52" t="s">
        <v>6229</v>
      </c>
      <c r="C6430" s="52" t="e">
        <v>#N/A</v>
      </c>
    </row>
    <row r="6431" spans="1:3" x14ac:dyDescent="0.25">
      <c r="A6431" s="52">
        <v>4543594</v>
      </c>
      <c r="B6431" s="52" t="s">
        <v>6230</v>
      </c>
      <c r="C6431" s="52" t="e">
        <v>#N/A</v>
      </c>
    </row>
    <row r="6432" spans="1:3" x14ac:dyDescent="0.25">
      <c r="A6432" s="52">
        <v>4543597</v>
      </c>
      <c r="B6432" s="52" t="s">
        <v>6231</v>
      </c>
      <c r="C6432" s="52" t="e">
        <v>#N/A</v>
      </c>
    </row>
    <row r="6433" spans="1:3" x14ac:dyDescent="0.25">
      <c r="A6433" s="52">
        <v>4543598</v>
      </c>
      <c r="B6433" s="52" t="s">
        <v>6232</v>
      </c>
      <c r="C6433" s="52" t="e">
        <v>#N/A</v>
      </c>
    </row>
    <row r="6434" spans="1:3" x14ac:dyDescent="0.25">
      <c r="A6434" s="52">
        <v>4543599</v>
      </c>
      <c r="B6434" s="52" t="s">
        <v>6233</v>
      </c>
      <c r="C6434" s="52" t="e">
        <v>#N/A</v>
      </c>
    </row>
    <row r="6435" spans="1:3" x14ac:dyDescent="0.25">
      <c r="A6435" s="52">
        <v>4543600</v>
      </c>
      <c r="B6435" s="52" t="s">
        <v>6234</v>
      </c>
      <c r="C6435" s="52" t="e">
        <v>#N/A</v>
      </c>
    </row>
    <row r="6436" spans="1:3" x14ac:dyDescent="0.25">
      <c r="A6436" s="52">
        <v>4543601</v>
      </c>
      <c r="B6436" s="52" t="s">
        <v>6235</v>
      </c>
      <c r="C6436" s="52" t="e">
        <v>#N/A</v>
      </c>
    </row>
    <row r="6437" spans="1:3" x14ac:dyDescent="0.25">
      <c r="A6437" s="52">
        <v>4543602</v>
      </c>
      <c r="B6437" s="52" t="s">
        <v>6236</v>
      </c>
      <c r="C6437" s="52" t="e">
        <v>#N/A</v>
      </c>
    </row>
    <row r="6438" spans="1:3" x14ac:dyDescent="0.25">
      <c r="A6438" s="52">
        <v>4543603</v>
      </c>
      <c r="B6438" s="52" t="s">
        <v>6237</v>
      </c>
      <c r="C6438" s="52" t="s">
        <v>36</v>
      </c>
    </row>
    <row r="6439" spans="1:3" x14ac:dyDescent="0.25">
      <c r="A6439" s="52">
        <v>4543607</v>
      </c>
      <c r="B6439" s="52" t="s">
        <v>6238</v>
      </c>
      <c r="C6439" s="52" t="s">
        <v>36</v>
      </c>
    </row>
    <row r="6440" spans="1:3" x14ac:dyDescent="0.25">
      <c r="A6440" s="52">
        <v>4543608</v>
      </c>
      <c r="B6440" s="52" t="s">
        <v>6239</v>
      </c>
      <c r="C6440" s="52" t="s">
        <v>36</v>
      </c>
    </row>
    <row r="6441" spans="1:3" x14ac:dyDescent="0.25">
      <c r="A6441" s="52">
        <v>4543610</v>
      </c>
      <c r="B6441" s="52" t="s">
        <v>6240</v>
      </c>
      <c r="C6441" s="52" t="s">
        <v>36</v>
      </c>
    </row>
    <row r="6442" spans="1:3" x14ac:dyDescent="0.25">
      <c r="A6442" s="52">
        <v>4543612</v>
      </c>
      <c r="B6442" s="52" t="s">
        <v>6241</v>
      </c>
      <c r="C6442" s="52" t="e">
        <v>#N/A</v>
      </c>
    </row>
    <row r="6443" spans="1:3" x14ac:dyDescent="0.25">
      <c r="A6443" s="52">
        <v>4543613</v>
      </c>
      <c r="B6443" s="52" t="s">
        <v>6242</v>
      </c>
      <c r="C6443" s="52" t="e">
        <v>#N/A</v>
      </c>
    </row>
    <row r="6444" spans="1:3" x14ac:dyDescent="0.25">
      <c r="A6444" s="52">
        <v>4543615</v>
      </c>
      <c r="B6444" s="52" t="s">
        <v>6243</v>
      </c>
      <c r="C6444" s="52" t="e">
        <v>#N/A</v>
      </c>
    </row>
    <row r="6445" spans="1:3" x14ac:dyDescent="0.25">
      <c r="A6445" s="52">
        <v>4543616</v>
      </c>
      <c r="B6445" s="52" t="s">
        <v>6244</v>
      </c>
      <c r="C6445" s="52" t="e">
        <v>#N/A</v>
      </c>
    </row>
    <row r="6446" spans="1:3" x14ac:dyDescent="0.25">
      <c r="A6446" s="52">
        <v>4543618</v>
      </c>
      <c r="B6446" s="52" t="s">
        <v>6245</v>
      </c>
      <c r="C6446" s="52" t="s">
        <v>33</v>
      </c>
    </row>
    <row r="6447" spans="1:3" x14ac:dyDescent="0.25">
      <c r="A6447" s="52">
        <v>4543619</v>
      </c>
      <c r="B6447" s="52" t="s">
        <v>6246</v>
      </c>
      <c r="C6447" s="52" t="e">
        <v>#N/A</v>
      </c>
    </row>
    <row r="6448" spans="1:3" x14ac:dyDescent="0.25">
      <c r="A6448" s="52">
        <v>4543620</v>
      </c>
      <c r="B6448" s="52" t="s">
        <v>6247</v>
      </c>
      <c r="C6448" s="52" t="e">
        <v>#N/A</v>
      </c>
    </row>
    <row r="6449" spans="1:3" x14ac:dyDescent="0.25">
      <c r="A6449" s="52">
        <v>4543621</v>
      </c>
      <c r="B6449" s="52" t="s">
        <v>6248</v>
      </c>
      <c r="C6449" s="52" t="e">
        <v>#N/A</v>
      </c>
    </row>
    <row r="6450" spans="1:3" x14ac:dyDescent="0.25">
      <c r="A6450" s="52">
        <v>4543623</v>
      </c>
      <c r="B6450" s="52" t="s">
        <v>6249</v>
      </c>
      <c r="C6450" s="52" t="e">
        <v>#N/A</v>
      </c>
    </row>
    <row r="6451" spans="1:3" x14ac:dyDescent="0.25">
      <c r="A6451" s="52">
        <v>4543646</v>
      </c>
      <c r="B6451" s="52" t="s">
        <v>6250</v>
      </c>
      <c r="C6451" s="52" t="e">
        <v>#N/A</v>
      </c>
    </row>
    <row r="6452" spans="1:3" x14ac:dyDescent="0.25">
      <c r="A6452" s="52">
        <v>4543648</v>
      </c>
      <c r="B6452" s="52" t="s">
        <v>6251</v>
      </c>
      <c r="C6452" s="52" t="e">
        <v>#N/A</v>
      </c>
    </row>
    <row r="6453" spans="1:3" x14ac:dyDescent="0.25">
      <c r="A6453" s="52">
        <v>4543651</v>
      </c>
      <c r="B6453" s="52" t="s">
        <v>6252</v>
      </c>
      <c r="C6453" s="52" t="e">
        <v>#N/A</v>
      </c>
    </row>
    <row r="6454" spans="1:3" x14ac:dyDescent="0.25">
      <c r="A6454" s="52">
        <v>4543654</v>
      </c>
      <c r="B6454" s="52" t="s">
        <v>6253</v>
      </c>
      <c r="C6454" s="52" t="e">
        <v>#N/A</v>
      </c>
    </row>
    <row r="6455" spans="1:3" x14ac:dyDescent="0.25">
      <c r="A6455" s="52">
        <v>4543771</v>
      </c>
      <c r="B6455" s="52" t="s">
        <v>6254</v>
      </c>
      <c r="C6455" s="52" t="e">
        <v>#N/A</v>
      </c>
    </row>
    <row r="6456" spans="1:3" x14ac:dyDescent="0.25">
      <c r="A6456" s="52">
        <v>4543772</v>
      </c>
      <c r="B6456" s="52" t="s">
        <v>6255</v>
      </c>
      <c r="C6456" s="52" t="e">
        <v>#N/A</v>
      </c>
    </row>
    <row r="6457" spans="1:3" x14ac:dyDescent="0.25">
      <c r="A6457" s="52">
        <v>4543773</v>
      </c>
      <c r="B6457" s="52" t="s">
        <v>6256</v>
      </c>
      <c r="C6457" s="52" t="e">
        <v>#N/A</v>
      </c>
    </row>
    <row r="6458" spans="1:3" x14ac:dyDescent="0.25">
      <c r="A6458" s="52">
        <v>4543980</v>
      </c>
      <c r="B6458" s="52" t="s">
        <v>6257</v>
      </c>
      <c r="C6458" s="52" t="e">
        <v>#N/A</v>
      </c>
    </row>
    <row r="6459" spans="1:3" x14ac:dyDescent="0.25">
      <c r="A6459" s="52">
        <v>4544018</v>
      </c>
      <c r="B6459" s="52" t="s">
        <v>6258</v>
      </c>
      <c r="C6459" s="52" t="e">
        <v>#N/A</v>
      </c>
    </row>
    <row r="6460" spans="1:3" x14ac:dyDescent="0.25">
      <c r="A6460" s="52">
        <v>4544122</v>
      </c>
      <c r="B6460" s="52" t="s">
        <v>6259</v>
      </c>
      <c r="C6460" s="52" t="e">
        <v>#N/A</v>
      </c>
    </row>
    <row r="6461" spans="1:3" x14ac:dyDescent="0.25">
      <c r="A6461" s="52">
        <v>4544125</v>
      </c>
      <c r="B6461" s="52" t="s">
        <v>6260</v>
      </c>
      <c r="C6461" s="52" t="e">
        <v>#N/A</v>
      </c>
    </row>
    <row r="6462" spans="1:3" x14ac:dyDescent="0.25">
      <c r="A6462" s="52">
        <v>4544267</v>
      </c>
      <c r="B6462" s="52" t="s">
        <v>6261</v>
      </c>
      <c r="C6462" s="52" t="e">
        <v>#N/A</v>
      </c>
    </row>
    <row r="6463" spans="1:3" x14ac:dyDescent="0.25">
      <c r="A6463" s="52">
        <v>4544421</v>
      </c>
      <c r="B6463" s="52" t="s">
        <v>6262</v>
      </c>
      <c r="C6463" s="52" t="s">
        <v>33</v>
      </c>
    </row>
    <row r="6464" spans="1:3" x14ac:dyDescent="0.25">
      <c r="A6464" s="52">
        <v>4544425</v>
      </c>
      <c r="B6464" s="52" t="s">
        <v>6263</v>
      </c>
      <c r="C6464" s="52" t="e">
        <v>#N/A</v>
      </c>
    </row>
    <row r="6465" spans="1:3" x14ac:dyDescent="0.25">
      <c r="A6465" s="52">
        <v>4544426</v>
      </c>
      <c r="B6465" s="52" t="s">
        <v>6264</v>
      </c>
      <c r="C6465" s="52" t="s">
        <v>33</v>
      </c>
    </row>
    <row r="6466" spans="1:3" x14ac:dyDescent="0.25">
      <c r="A6466" s="52">
        <v>4544427</v>
      </c>
      <c r="B6466" s="52" t="s">
        <v>6265</v>
      </c>
      <c r="C6466" s="52" t="s">
        <v>33</v>
      </c>
    </row>
    <row r="6467" spans="1:3" x14ac:dyDescent="0.25">
      <c r="A6467" s="52">
        <v>4544429</v>
      </c>
      <c r="B6467" s="52" t="s">
        <v>6266</v>
      </c>
      <c r="C6467" s="52" t="s">
        <v>33</v>
      </c>
    </row>
    <row r="6468" spans="1:3" x14ac:dyDescent="0.25">
      <c r="A6468" s="52">
        <v>4544445</v>
      </c>
      <c r="B6468" s="52" t="s">
        <v>6267</v>
      </c>
      <c r="C6468" s="52" t="e">
        <v>#N/A</v>
      </c>
    </row>
    <row r="6469" spans="1:3" x14ac:dyDescent="0.25">
      <c r="A6469" s="52">
        <v>4544446</v>
      </c>
      <c r="B6469" s="52" t="s">
        <v>6268</v>
      </c>
      <c r="C6469" s="52" t="e">
        <v>#N/A</v>
      </c>
    </row>
    <row r="6470" spans="1:3" x14ac:dyDescent="0.25">
      <c r="A6470" s="52">
        <v>4544447</v>
      </c>
      <c r="B6470" s="52" t="s">
        <v>6269</v>
      </c>
      <c r="C6470" s="52" t="e">
        <v>#N/A</v>
      </c>
    </row>
    <row r="6471" spans="1:3" x14ac:dyDescent="0.25">
      <c r="A6471" s="52">
        <v>4544449</v>
      </c>
      <c r="B6471" s="52" t="s">
        <v>6270</v>
      </c>
      <c r="C6471" s="52" t="s">
        <v>33</v>
      </c>
    </row>
    <row r="6472" spans="1:3" x14ac:dyDescent="0.25">
      <c r="A6472" s="52">
        <v>4544450</v>
      </c>
      <c r="B6472" s="52" t="s">
        <v>6271</v>
      </c>
      <c r="C6472" s="52" t="s">
        <v>33</v>
      </c>
    </row>
    <row r="6473" spans="1:3" x14ac:dyDescent="0.25">
      <c r="A6473" s="52">
        <v>4544451</v>
      </c>
      <c r="B6473" s="52" t="s">
        <v>6272</v>
      </c>
      <c r="C6473" s="52" t="s">
        <v>33</v>
      </c>
    </row>
    <row r="6474" spans="1:3" x14ac:dyDescent="0.25">
      <c r="A6474" s="52">
        <v>4544452</v>
      </c>
      <c r="B6474" s="52" t="s">
        <v>6273</v>
      </c>
      <c r="C6474" s="52" t="s">
        <v>33</v>
      </c>
    </row>
    <row r="6475" spans="1:3" x14ac:dyDescent="0.25">
      <c r="A6475" s="52">
        <v>4544453</v>
      </c>
      <c r="B6475" s="52" t="s">
        <v>6274</v>
      </c>
      <c r="C6475" s="52" t="s">
        <v>33</v>
      </c>
    </row>
    <row r="6476" spans="1:3" x14ac:dyDescent="0.25">
      <c r="A6476" s="52">
        <v>4544454</v>
      </c>
      <c r="B6476" s="52" t="s">
        <v>6275</v>
      </c>
      <c r="C6476" s="52" t="s">
        <v>33</v>
      </c>
    </row>
    <row r="6477" spans="1:3" x14ac:dyDescent="0.25">
      <c r="A6477" s="52">
        <v>4544455</v>
      </c>
      <c r="B6477" s="52" t="s">
        <v>6276</v>
      </c>
      <c r="C6477" s="52" t="s">
        <v>33</v>
      </c>
    </row>
    <row r="6478" spans="1:3" x14ac:dyDescent="0.25">
      <c r="A6478" s="52">
        <v>4544458</v>
      </c>
      <c r="B6478" s="52" t="s">
        <v>6277</v>
      </c>
      <c r="C6478" s="52" t="e">
        <v>#N/A</v>
      </c>
    </row>
    <row r="6479" spans="1:3" x14ac:dyDescent="0.25">
      <c r="A6479" s="52">
        <v>4544459</v>
      </c>
      <c r="B6479" s="52" t="s">
        <v>6278</v>
      </c>
      <c r="C6479" s="52" t="e">
        <v>#N/A</v>
      </c>
    </row>
    <row r="6480" spans="1:3" x14ac:dyDescent="0.25">
      <c r="A6480" s="52">
        <v>4544483</v>
      </c>
      <c r="B6480" s="52" t="s">
        <v>6279</v>
      </c>
      <c r="C6480" s="52" t="e">
        <v>#N/A</v>
      </c>
    </row>
    <row r="6481" spans="1:3" x14ac:dyDescent="0.25">
      <c r="A6481" s="52">
        <v>4544484</v>
      </c>
      <c r="B6481" s="52" t="s">
        <v>6280</v>
      </c>
      <c r="C6481" s="52" t="e">
        <v>#N/A</v>
      </c>
    </row>
    <row r="6482" spans="1:3" x14ac:dyDescent="0.25">
      <c r="A6482" s="52">
        <v>4544485</v>
      </c>
      <c r="B6482" s="52" t="s">
        <v>6281</v>
      </c>
      <c r="C6482" s="52" t="e">
        <v>#N/A</v>
      </c>
    </row>
    <row r="6483" spans="1:3" x14ac:dyDescent="0.25">
      <c r="A6483" s="52">
        <v>4544486</v>
      </c>
      <c r="B6483" s="52" t="s">
        <v>6282</v>
      </c>
      <c r="C6483" s="52" t="e">
        <v>#N/A</v>
      </c>
    </row>
    <row r="6484" spans="1:3" x14ac:dyDescent="0.25">
      <c r="A6484" s="52">
        <v>4544487</v>
      </c>
      <c r="B6484" s="52" t="s">
        <v>6283</v>
      </c>
      <c r="C6484" s="52" t="e">
        <v>#N/A</v>
      </c>
    </row>
    <row r="6485" spans="1:3" x14ac:dyDescent="0.25">
      <c r="A6485" s="52">
        <v>4544488</v>
      </c>
      <c r="B6485" s="52" t="s">
        <v>6284</v>
      </c>
      <c r="C6485" s="52" t="e">
        <v>#N/A</v>
      </c>
    </row>
    <row r="6486" spans="1:3" x14ac:dyDescent="0.25">
      <c r="A6486" s="52">
        <v>4544489</v>
      </c>
      <c r="B6486" s="52" t="s">
        <v>6285</v>
      </c>
      <c r="C6486" s="52" t="e">
        <v>#N/A</v>
      </c>
    </row>
    <row r="6487" spans="1:3" x14ac:dyDescent="0.25">
      <c r="A6487" s="52">
        <v>4544491</v>
      </c>
      <c r="B6487" s="52" t="s">
        <v>6286</v>
      </c>
      <c r="C6487" s="52" t="e">
        <v>#N/A</v>
      </c>
    </row>
    <row r="6488" spans="1:3" x14ac:dyDescent="0.25">
      <c r="A6488" s="52">
        <v>4544492</v>
      </c>
      <c r="B6488" s="52" t="s">
        <v>6287</v>
      </c>
      <c r="C6488" s="52" t="e">
        <v>#N/A</v>
      </c>
    </row>
    <row r="6489" spans="1:3" x14ac:dyDescent="0.25">
      <c r="A6489" s="52">
        <v>4544493</v>
      </c>
      <c r="B6489" s="52" t="s">
        <v>6288</v>
      </c>
      <c r="C6489" s="52" t="e">
        <v>#N/A</v>
      </c>
    </row>
    <row r="6490" spans="1:3" x14ac:dyDescent="0.25">
      <c r="A6490" s="52">
        <v>4544498</v>
      </c>
      <c r="B6490" s="52" t="s">
        <v>6289</v>
      </c>
      <c r="C6490" s="52" t="e">
        <v>#N/A</v>
      </c>
    </row>
    <row r="6491" spans="1:3" x14ac:dyDescent="0.25">
      <c r="A6491" s="52">
        <v>4544499</v>
      </c>
      <c r="B6491" s="52" t="s">
        <v>6290</v>
      </c>
      <c r="C6491" s="52" t="e">
        <v>#N/A</v>
      </c>
    </row>
    <row r="6492" spans="1:3" x14ac:dyDescent="0.25">
      <c r="A6492" s="52">
        <v>4544509</v>
      </c>
      <c r="B6492" s="52" t="s">
        <v>6291</v>
      </c>
      <c r="C6492" s="52" t="e">
        <v>#N/A</v>
      </c>
    </row>
    <row r="6493" spans="1:3" x14ac:dyDescent="0.25">
      <c r="A6493" s="52">
        <v>4561101</v>
      </c>
      <c r="B6493" s="52" t="s">
        <v>6292</v>
      </c>
      <c r="C6493" s="52" t="e">
        <v>#N/A</v>
      </c>
    </row>
    <row r="6494" spans="1:3" x14ac:dyDescent="0.25">
      <c r="A6494" s="52">
        <v>4561367</v>
      </c>
      <c r="B6494" s="52" t="s">
        <v>6293</v>
      </c>
      <c r="C6494" s="52" t="e">
        <v>#N/A</v>
      </c>
    </row>
    <row r="6495" spans="1:3" x14ac:dyDescent="0.25">
      <c r="A6495" s="52">
        <v>4575320</v>
      </c>
      <c r="B6495" s="52" t="s">
        <v>6294</v>
      </c>
      <c r="C6495" s="52" t="e">
        <v>#N/A</v>
      </c>
    </row>
    <row r="6496" spans="1:3" x14ac:dyDescent="0.25">
      <c r="A6496" s="52">
        <v>4575321</v>
      </c>
      <c r="B6496" s="52" t="s">
        <v>6295</v>
      </c>
      <c r="C6496" s="52" t="e">
        <v>#N/A</v>
      </c>
    </row>
    <row r="6497" spans="1:3" x14ac:dyDescent="0.25">
      <c r="A6497" s="52">
        <v>4575322</v>
      </c>
      <c r="B6497" s="52" t="s">
        <v>6296</v>
      </c>
      <c r="C6497" s="52" t="e">
        <v>#N/A</v>
      </c>
    </row>
    <row r="6498" spans="1:3" x14ac:dyDescent="0.25">
      <c r="A6498" s="52">
        <v>4575323</v>
      </c>
      <c r="B6498" s="52" t="s">
        <v>6297</v>
      </c>
      <c r="C6498" s="52" t="e">
        <v>#N/A</v>
      </c>
    </row>
    <row r="6499" spans="1:3" x14ac:dyDescent="0.25">
      <c r="A6499" s="52">
        <v>4581418</v>
      </c>
      <c r="B6499" s="52" t="s">
        <v>6298</v>
      </c>
      <c r="C6499" s="52" t="s">
        <v>33</v>
      </c>
    </row>
    <row r="6500" spans="1:3" x14ac:dyDescent="0.25">
      <c r="A6500" s="52">
        <v>4583289</v>
      </c>
      <c r="B6500" s="52" t="s">
        <v>6299</v>
      </c>
      <c r="C6500" s="52" t="e">
        <v>#N/A</v>
      </c>
    </row>
    <row r="6501" spans="1:3" x14ac:dyDescent="0.25">
      <c r="A6501" s="52">
        <v>4583291</v>
      </c>
      <c r="B6501" s="52" t="s">
        <v>6300</v>
      </c>
      <c r="C6501" s="52" t="e">
        <v>#N/A</v>
      </c>
    </row>
    <row r="6502" spans="1:3" x14ac:dyDescent="0.25">
      <c r="A6502" s="52">
        <v>4584167</v>
      </c>
      <c r="B6502" s="52" t="s">
        <v>6301</v>
      </c>
      <c r="C6502" s="52" t="e">
        <v>#N/A</v>
      </c>
    </row>
    <row r="6503" spans="1:3" x14ac:dyDescent="0.25">
      <c r="A6503" s="52">
        <v>4586281</v>
      </c>
      <c r="B6503" s="52" t="s">
        <v>6302</v>
      </c>
      <c r="C6503" s="52" t="s">
        <v>33</v>
      </c>
    </row>
    <row r="6504" spans="1:3" x14ac:dyDescent="0.25">
      <c r="A6504" s="52">
        <v>4588317</v>
      </c>
      <c r="B6504" s="52" t="s">
        <v>6303</v>
      </c>
      <c r="C6504" s="52" t="e">
        <v>#N/A</v>
      </c>
    </row>
    <row r="6505" spans="1:3" x14ac:dyDescent="0.25">
      <c r="A6505" s="52">
        <v>4588318</v>
      </c>
      <c r="B6505" s="52" t="s">
        <v>6304</v>
      </c>
      <c r="C6505" s="52" t="s">
        <v>33</v>
      </c>
    </row>
    <row r="6506" spans="1:3" x14ac:dyDescent="0.25">
      <c r="A6506" s="52">
        <v>4588319</v>
      </c>
      <c r="B6506" s="52" t="s">
        <v>6305</v>
      </c>
      <c r="C6506" s="52" t="e">
        <v>#N/A</v>
      </c>
    </row>
    <row r="6507" spans="1:3" x14ac:dyDescent="0.25">
      <c r="A6507" s="52">
        <v>4590661</v>
      </c>
      <c r="B6507" s="52" t="s">
        <v>6306</v>
      </c>
      <c r="C6507" s="52" t="e">
        <v>#N/A</v>
      </c>
    </row>
    <row r="6508" spans="1:3" x14ac:dyDescent="0.25">
      <c r="A6508" s="52">
        <v>4594544</v>
      </c>
      <c r="B6508" s="52" t="s">
        <v>6307</v>
      </c>
      <c r="C6508" s="52" t="e">
        <v>#N/A</v>
      </c>
    </row>
    <row r="6509" spans="1:3" x14ac:dyDescent="0.25">
      <c r="A6509" s="52">
        <v>4608191</v>
      </c>
      <c r="B6509" s="52" t="s">
        <v>6308</v>
      </c>
      <c r="C6509" s="52" t="s">
        <v>33</v>
      </c>
    </row>
    <row r="6510" spans="1:3" x14ac:dyDescent="0.25">
      <c r="A6510" s="52">
        <v>4609271</v>
      </c>
      <c r="B6510" s="52" t="s">
        <v>6309</v>
      </c>
      <c r="C6510" s="52" t="e">
        <v>#N/A</v>
      </c>
    </row>
    <row r="6511" spans="1:3" x14ac:dyDescent="0.25">
      <c r="A6511" s="52">
        <v>4609272</v>
      </c>
      <c r="B6511" s="52" t="s">
        <v>6310</v>
      </c>
      <c r="C6511" s="52" t="s">
        <v>33</v>
      </c>
    </row>
    <row r="6512" spans="1:3" x14ac:dyDescent="0.25">
      <c r="A6512" s="52">
        <v>4609273</v>
      </c>
      <c r="B6512" s="52" t="s">
        <v>6311</v>
      </c>
      <c r="C6512" s="52" t="e">
        <v>#N/A</v>
      </c>
    </row>
    <row r="6513" spans="1:3" x14ac:dyDescent="0.25">
      <c r="A6513" s="52">
        <v>4610951</v>
      </c>
      <c r="B6513" s="52" t="s">
        <v>6312</v>
      </c>
      <c r="C6513" s="52" t="e">
        <v>#N/A</v>
      </c>
    </row>
    <row r="6514" spans="1:3" x14ac:dyDescent="0.25">
      <c r="A6514" s="52">
        <v>4610952</v>
      </c>
      <c r="B6514" s="52" t="s">
        <v>6313</v>
      </c>
      <c r="C6514" s="52" t="e">
        <v>#N/A</v>
      </c>
    </row>
    <row r="6515" spans="1:3" x14ac:dyDescent="0.25">
      <c r="A6515" s="52">
        <v>4611729</v>
      </c>
      <c r="B6515" s="52" t="s">
        <v>6314</v>
      </c>
      <c r="C6515" s="52" t="s">
        <v>27</v>
      </c>
    </row>
    <row r="6516" spans="1:3" x14ac:dyDescent="0.25">
      <c r="A6516" s="52">
        <v>4612621</v>
      </c>
      <c r="B6516" s="52" t="s">
        <v>6315</v>
      </c>
      <c r="C6516" s="52" t="e">
        <v>#N/A</v>
      </c>
    </row>
    <row r="6517" spans="1:3" x14ac:dyDescent="0.25">
      <c r="A6517" s="52">
        <v>4612666</v>
      </c>
      <c r="B6517" s="52" t="s">
        <v>6316</v>
      </c>
      <c r="C6517" s="52" t="e">
        <v>#N/A</v>
      </c>
    </row>
    <row r="6518" spans="1:3" x14ac:dyDescent="0.25">
      <c r="A6518" s="52">
        <v>4612667</v>
      </c>
      <c r="B6518" s="52" t="s">
        <v>6317</v>
      </c>
      <c r="C6518" s="52" t="e">
        <v>#N/A</v>
      </c>
    </row>
    <row r="6519" spans="1:3" x14ac:dyDescent="0.25">
      <c r="A6519" s="52">
        <v>4616343</v>
      </c>
      <c r="B6519" s="52" t="s">
        <v>6318</v>
      </c>
      <c r="C6519" s="52" t="e">
        <v>#N/A</v>
      </c>
    </row>
    <row r="6520" spans="1:3" x14ac:dyDescent="0.25">
      <c r="A6520" s="52">
        <v>4622585</v>
      </c>
      <c r="B6520" s="52" t="s">
        <v>6319</v>
      </c>
      <c r="C6520" s="52" t="s">
        <v>33</v>
      </c>
    </row>
    <row r="6521" spans="1:3" x14ac:dyDescent="0.25">
      <c r="A6521" s="52">
        <v>4622586</v>
      </c>
      <c r="B6521" s="52" t="s">
        <v>6320</v>
      </c>
      <c r="C6521" s="52" t="s">
        <v>33</v>
      </c>
    </row>
    <row r="6522" spans="1:3" x14ac:dyDescent="0.25">
      <c r="A6522" s="52">
        <v>4622587</v>
      </c>
      <c r="B6522" s="52" t="s">
        <v>6321</v>
      </c>
      <c r="C6522" s="52" t="s">
        <v>33</v>
      </c>
    </row>
    <row r="6523" spans="1:3" x14ac:dyDescent="0.25">
      <c r="A6523" s="52">
        <v>4622588</v>
      </c>
      <c r="B6523" s="52" t="s">
        <v>6322</v>
      </c>
      <c r="C6523" s="52" t="s">
        <v>33</v>
      </c>
    </row>
    <row r="6524" spans="1:3" x14ac:dyDescent="0.25">
      <c r="A6524" s="52">
        <v>4622589</v>
      </c>
      <c r="B6524" s="52" t="s">
        <v>6323</v>
      </c>
      <c r="C6524" s="52" t="s">
        <v>33</v>
      </c>
    </row>
    <row r="6525" spans="1:3" x14ac:dyDescent="0.25">
      <c r="A6525" s="52">
        <v>4622590</v>
      </c>
      <c r="B6525" s="52" t="s">
        <v>6324</v>
      </c>
      <c r="C6525" s="52" t="s">
        <v>33</v>
      </c>
    </row>
    <row r="6526" spans="1:3" x14ac:dyDescent="0.25">
      <c r="A6526" s="52">
        <v>4622591</v>
      </c>
      <c r="B6526" s="52" t="s">
        <v>6325</v>
      </c>
      <c r="C6526" s="52" t="s">
        <v>33</v>
      </c>
    </row>
    <row r="6527" spans="1:3" x14ac:dyDescent="0.25">
      <c r="A6527" s="52">
        <v>4622592</v>
      </c>
      <c r="B6527" s="52" t="s">
        <v>6326</v>
      </c>
      <c r="C6527" s="52" t="s">
        <v>33</v>
      </c>
    </row>
    <row r="6528" spans="1:3" x14ac:dyDescent="0.25">
      <c r="A6528" s="52">
        <v>4622593</v>
      </c>
      <c r="B6528" s="52" t="s">
        <v>6327</v>
      </c>
      <c r="C6528" s="52" t="s">
        <v>33</v>
      </c>
    </row>
    <row r="6529" spans="1:3" x14ac:dyDescent="0.25">
      <c r="A6529" s="52">
        <v>4622594</v>
      </c>
      <c r="B6529" s="52" t="s">
        <v>6328</v>
      </c>
      <c r="C6529" s="52" t="s">
        <v>33</v>
      </c>
    </row>
    <row r="6530" spans="1:3" x14ac:dyDescent="0.25">
      <c r="A6530" s="52">
        <v>4622595</v>
      </c>
      <c r="B6530" s="52" t="s">
        <v>6329</v>
      </c>
      <c r="C6530" s="52" t="s">
        <v>33</v>
      </c>
    </row>
    <row r="6531" spans="1:3" x14ac:dyDescent="0.25">
      <c r="A6531" s="52">
        <v>4622596</v>
      </c>
      <c r="B6531" s="52" t="s">
        <v>6330</v>
      </c>
      <c r="C6531" s="52" t="s">
        <v>33</v>
      </c>
    </row>
    <row r="6532" spans="1:3" x14ac:dyDescent="0.25">
      <c r="A6532" s="52">
        <v>4622597</v>
      </c>
      <c r="B6532" s="52" t="s">
        <v>6331</v>
      </c>
      <c r="C6532" s="52" t="s">
        <v>33</v>
      </c>
    </row>
    <row r="6533" spans="1:3" x14ac:dyDescent="0.25">
      <c r="A6533" s="52">
        <v>4622598</v>
      </c>
      <c r="B6533" s="52" t="s">
        <v>6332</v>
      </c>
      <c r="C6533" s="52" t="s">
        <v>33</v>
      </c>
    </row>
    <row r="6534" spans="1:3" x14ac:dyDescent="0.25">
      <c r="A6534" s="52">
        <v>4622599</v>
      </c>
      <c r="B6534" s="52" t="s">
        <v>6333</v>
      </c>
      <c r="C6534" s="52" t="s">
        <v>33</v>
      </c>
    </row>
    <row r="6535" spans="1:3" x14ac:dyDescent="0.25">
      <c r="A6535" s="52">
        <v>4622600</v>
      </c>
      <c r="B6535" s="52" t="s">
        <v>6334</v>
      </c>
      <c r="C6535" s="52" t="s">
        <v>33</v>
      </c>
    </row>
    <row r="6536" spans="1:3" x14ac:dyDescent="0.25">
      <c r="A6536" s="52">
        <v>4622601</v>
      </c>
      <c r="B6536" s="52" t="s">
        <v>6335</v>
      </c>
      <c r="C6536" s="52" t="s">
        <v>33</v>
      </c>
    </row>
    <row r="6537" spans="1:3" x14ac:dyDescent="0.25">
      <c r="A6537" s="52">
        <v>4624326</v>
      </c>
      <c r="B6537" s="52" t="s">
        <v>6336</v>
      </c>
      <c r="C6537" s="52" t="s">
        <v>30</v>
      </c>
    </row>
    <row r="6538" spans="1:3" x14ac:dyDescent="0.25">
      <c r="A6538" s="52">
        <v>4625122</v>
      </c>
      <c r="B6538" s="52" t="s">
        <v>6337</v>
      </c>
      <c r="C6538" s="52" t="s">
        <v>33</v>
      </c>
    </row>
    <row r="6539" spans="1:3" x14ac:dyDescent="0.25">
      <c r="A6539" s="52">
        <v>4625123</v>
      </c>
      <c r="B6539" s="52" t="s">
        <v>6338</v>
      </c>
      <c r="C6539" s="52" t="s">
        <v>33</v>
      </c>
    </row>
    <row r="6540" spans="1:3" x14ac:dyDescent="0.25">
      <c r="A6540" s="52">
        <v>4625226</v>
      </c>
      <c r="B6540" s="52" t="s">
        <v>6339</v>
      </c>
      <c r="C6540" s="52" t="s">
        <v>33</v>
      </c>
    </row>
    <row r="6541" spans="1:3" x14ac:dyDescent="0.25">
      <c r="A6541" s="52">
        <v>4625227</v>
      </c>
      <c r="B6541" s="52" t="s">
        <v>6340</v>
      </c>
      <c r="C6541" s="52" t="s">
        <v>33</v>
      </c>
    </row>
    <row r="6542" spans="1:3" x14ac:dyDescent="0.25">
      <c r="A6542" s="52">
        <v>4625228</v>
      </c>
      <c r="B6542" s="52" t="s">
        <v>6341</v>
      </c>
      <c r="C6542" s="52" t="s">
        <v>33</v>
      </c>
    </row>
    <row r="6543" spans="1:3" x14ac:dyDescent="0.25">
      <c r="A6543" s="52">
        <v>4625229</v>
      </c>
      <c r="B6543" s="52" t="s">
        <v>6342</v>
      </c>
      <c r="C6543" s="52" t="s">
        <v>33</v>
      </c>
    </row>
    <row r="6544" spans="1:3" x14ac:dyDescent="0.25">
      <c r="A6544" s="52">
        <v>4625230</v>
      </c>
      <c r="B6544" s="52" t="s">
        <v>6343</v>
      </c>
      <c r="C6544" s="52" t="s">
        <v>33</v>
      </c>
    </row>
    <row r="6545" spans="1:3" x14ac:dyDescent="0.25">
      <c r="A6545" s="52">
        <v>4625265</v>
      </c>
      <c r="B6545" s="52" t="s">
        <v>6344</v>
      </c>
      <c r="C6545" s="52" t="s">
        <v>33</v>
      </c>
    </row>
    <row r="6546" spans="1:3" x14ac:dyDescent="0.25">
      <c r="A6546" s="52">
        <v>4625279</v>
      </c>
      <c r="B6546" s="52" t="s">
        <v>6345</v>
      </c>
      <c r="C6546" s="52" t="s">
        <v>33</v>
      </c>
    </row>
    <row r="6547" spans="1:3" x14ac:dyDescent="0.25">
      <c r="A6547" s="52">
        <v>4625291</v>
      </c>
      <c r="B6547" s="52" t="s">
        <v>6346</v>
      </c>
      <c r="C6547" s="52" t="s">
        <v>33</v>
      </c>
    </row>
    <row r="6548" spans="1:3" x14ac:dyDescent="0.25">
      <c r="A6548" s="52">
        <v>4625292</v>
      </c>
      <c r="B6548" s="52" t="s">
        <v>6347</v>
      </c>
      <c r="C6548" s="52" t="s">
        <v>33</v>
      </c>
    </row>
    <row r="6549" spans="1:3" x14ac:dyDescent="0.25">
      <c r="A6549" s="52">
        <v>4625293</v>
      </c>
      <c r="B6549" s="52" t="s">
        <v>6348</v>
      </c>
      <c r="C6549" s="52" t="e">
        <v>#N/A</v>
      </c>
    </row>
    <row r="6550" spans="1:3" x14ac:dyDescent="0.25">
      <c r="A6550" s="52">
        <v>4625294</v>
      </c>
      <c r="B6550" s="52" t="s">
        <v>6349</v>
      </c>
      <c r="C6550" s="52" t="s">
        <v>33</v>
      </c>
    </row>
    <row r="6551" spans="1:3" x14ac:dyDescent="0.25">
      <c r="A6551" s="52">
        <v>4625295</v>
      </c>
      <c r="B6551" s="52" t="s">
        <v>6350</v>
      </c>
      <c r="C6551" s="52" t="s">
        <v>33</v>
      </c>
    </row>
    <row r="6552" spans="1:3" x14ac:dyDescent="0.25">
      <c r="A6552" s="52">
        <v>4625341</v>
      </c>
      <c r="B6552" s="52" t="s">
        <v>6351</v>
      </c>
      <c r="C6552" s="52" t="s">
        <v>33</v>
      </c>
    </row>
    <row r="6553" spans="1:3" x14ac:dyDescent="0.25">
      <c r="A6553" s="52">
        <v>4625342</v>
      </c>
      <c r="B6553" s="52" t="s">
        <v>6352</v>
      </c>
      <c r="C6553" s="52" t="e">
        <v>#N/A</v>
      </c>
    </row>
    <row r="6554" spans="1:3" x14ac:dyDescent="0.25">
      <c r="A6554" s="52">
        <v>4626843</v>
      </c>
      <c r="B6554" s="52" t="s">
        <v>6353</v>
      </c>
      <c r="C6554" s="52" t="e">
        <v>#N/A</v>
      </c>
    </row>
    <row r="6555" spans="1:3" x14ac:dyDescent="0.25">
      <c r="A6555" s="52">
        <v>4626844</v>
      </c>
      <c r="B6555" s="52" t="s">
        <v>6354</v>
      </c>
      <c r="C6555" s="52" t="e">
        <v>#N/A</v>
      </c>
    </row>
    <row r="6556" spans="1:3" x14ac:dyDescent="0.25">
      <c r="A6556" s="52">
        <v>4627038</v>
      </c>
      <c r="B6556" s="52" t="s">
        <v>6355</v>
      </c>
      <c r="C6556" s="52" t="e">
        <v>#N/A</v>
      </c>
    </row>
    <row r="6557" spans="1:3" x14ac:dyDescent="0.25">
      <c r="A6557" s="52">
        <v>4627039</v>
      </c>
      <c r="B6557" s="52" t="s">
        <v>6356</v>
      </c>
      <c r="C6557" s="52" t="e">
        <v>#N/A</v>
      </c>
    </row>
    <row r="6558" spans="1:3" x14ac:dyDescent="0.25">
      <c r="A6558" s="52">
        <v>4627040</v>
      </c>
      <c r="B6558" s="52" t="s">
        <v>6357</v>
      </c>
      <c r="C6558" s="52" t="e">
        <v>#N/A</v>
      </c>
    </row>
    <row r="6559" spans="1:3" x14ac:dyDescent="0.25">
      <c r="A6559" s="52">
        <v>4627061</v>
      </c>
      <c r="B6559" s="52" t="s">
        <v>6358</v>
      </c>
      <c r="C6559" s="52" t="e">
        <v>#N/A</v>
      </c>
    </row>
    <row r="6560" spans="1:3" x14ac:dyDescent="0.25">
      <c r="A6560" s="52">
        <v>4627071</v>
      </c>
      <c r="B6560" s="52" t="s">
        <v>6359</v>
      </c>
      <c r="C6560" s="52" t="e">
        <v>#N/A</v>
      </c>
    </row>
    <row r="6561" spans="1:3" x14ac:dyDescent="0.25">
      <c r="A6561" s="52">
        <v>4628672</v>
      </c>
      <c r="B6561" s="52" t="s">
        <v>6360</v>
      </c>
      <c r="C6561" s="52" t="e">
        <v>#N/A</v>
      </c>
    </row>
    <row r="6562" spans="1:3" x14ac:dyDescent="0.25">
      <c r="A6562" s="52">
        <v>4628673</v>
      </c>
      <c r="B6562" s="52" t="s">
        <v>6361</v>
      </c>
      <c r="C6562" s="52" t="e">
        <v>#N/A</v>
      </c>
    </row>
    <row r="6563" spans="1:3" x14ac:dyDescent="0.25">
      <c r="A6563" s="52">
        <v>4628674</v>
      </c>
      <c r="B6563" s="52" t="s">
        <v>6362</v>
      </c>
      <c r="C6563" s="52" t="e">
        <v>#N/A</v>
      </c>
    </row>
    <row r="6564" spans="1:3" x14ac:dyDescent="0.25">
      <c r="A6564" s="52">
        <v>4630240</v>
      </c>
      <c r="B6564" s="52" t="s">
        <v>6363</v>
      </c>
      <c r="C6564" s="52" t="s">
        <v>33</v>
      </c>
    </row>
    <row r="6565" spans="1:3" x14ac:dyDescent="0.25">
      <c r="A6565" s="52">
        <v>4630351</v>
      </c>
      <c r="B6565" s="52" t="s">
        <v>6364</v>
      </c>
      <c r="C6565" s="52" t="s">
        <v>33</v>
      </c>
    </row>
    <row r="6566" spans="1:3" x14ac:dyDescent="0.25">
      <c r="A6566" s="52">
        <v>4630364</v>
      </c>
      <c r="B6566" s="52" t="s">
        <v>6365</v>
      </c>
      <c r="C6566" s="52" t="e">
        <v>#N/A</v>
      </c>
    </row>
    <row r="6567" spans="1:3" x14ac:dyDescent="0.25">
      <c r="A6567" s="52">
        <v>4630365</v>
      </c>
      <c r="B6567" s="52" t="s">
        <v>6366</v>
      </c>
      <c r="C6567" s="52" t="e">
        <v>#N/A</v>
      </c>
    </row>
    <row r="6568" spans="1:3" x14ac:dyDescent="0.25">
      <c r="A6568" s="52">
        <v>4630999</v>
      </c>
      <c r="B6568" s="52" t="s">
        <v>6367</v>
      </c>
      <c r="C6568" s="52" t="s">
        <v>33</v>
      </c>
    </row>
    <row r="6569" spans="1:3" x14ac:dyDescent="0.25">
      <c r="A6569" s="52">
        <v>4631000</v>
      </c>
      <c r="B6569" s="52" t="s">
        <v>6368</v>
      </c>
      <c r="C6569" s="52" t="s">
        <v>30</v>
      </c>
    </row>
    <row r="6570" spans="1:3" x14ac:dyDescent="0.25">
      <c r="A6570" s="52">
        <v>4631688</v>
      </c>
      <c r="B6570" s="52" t="s">
        <v>6369</v>
      </c>
      <c r="C6570" s="52" t="s">
        <v>33</v>
      </c>
    </row>
    <row r="6571" spans="1:3" x14ac:dyDescent="0.25">
      <c r="A6571" s="52">
        <v>4631689</v>
      </c>
      <c r="B6571" s="52" t="s">
        <v>6370</v>
      </c>
      <c r="C6571" s="52" t="s">
        <v>33</v>
      </c>
    </row>
    <row r="6572" spans="1:3" x14ac:dyDescent="0.25">
      <c r="A6572" s="52">
        <v>4631690</v>
      </c>
      <c r="B6572" s="52" t="s">
        <v>6371</v>
      </c>
      <c r="C6572" s="52" t="s">
        <v>33</v>
      </c>
    </row>
    <row r="6573" spans="1:3" x14ac:dyDescent="0.25">
      <c r="A6573" s="52">
        <v>4631898</v>
      </c>
      <c r="B6573" s="52" t="s">
        <v>6372</v>
      </c>
      <c r="C6573" s="52" t="e">
        <v>#N/A</v>
      </c>
    </row>
    <row r="6574" spans="1:3" x14ac:dyDescent="0.25">
      <c r="A6574" s="52">
        <v>4631998</v>
      </c>
      <c r="B6574" s="52" t="s">
        <v>6373</v>
      </c>
      <c r="C6574" s="52" t="e">
        <v>#N/A</v>
      </c>
    </row>
    <row r="6575" spans="1:3" x14ac:dyDescent="0.25">
      <c r="A6575" s="52">
        <v>4631999</v>
      </c>
      <c r="B6575" s="52" t="s">
        <v>6374</v>
      </c>
      <c r="C6575" s="52" t="e">
        <v>#N/A</v>
      </c>
    </row>
    <row r="6576" spans="1:3" x14ac:dyDescent="0.25">
      <c r="A6576" s="52">
        <v>4632010</v>
      </c>
      <c r="B6576" s="52" t="s">
        <v>6375</v>
      </c>
      <c r="C6576" s="52" t="e">
        <v>#N/A</v>
      </c>
    </row>
    <row r="6577" spans="1:3" x14ac:dyDescent="0.25">
      <c r="A6577" s="52">
        <v>4632032</v>
      </c>
      <c r="B6577" s="52" t="s">
        <v>6376</v>
      </c>
      <c r="C6577" s="52" t="s">
        <v>36</v>
      </c>
    </row>
    <row r="6578" spans="1:3" x14ac:dyDescent="0.25">
      <c r="A6578" s="52">
        <v>4632033</v>
      </c>
      <c r="B6578" s="52" t="s">
        <v>6377</v>
      </c>
      <c r="C6578" s="52" t="s">
        <v>36</v>
      </c>
    </row>
    <row r="6579" spans="1:3" x14ac:dyDescent="0.25">
      <c r="A6579" s="52">
        <v>4632043</v>
      </c>
      <c r="B6579" s="52" t="s">
        <v>6378</v>
      </c>
      <c r="C6579" s="52" t="e">
        <v>#N/A</v>
      </c>
    </row>
    <row r="6580" spans="1:3" x14ac:dyDescent="0.25">
      <c r="A6580" s="52">
        <v>4634046</v>
      </c>
      <c r="B6580" s="52" t="s">
        <v>6379</v>
      </c>
      <c r="C6580" s="52" t="e">
        <v>#N/A</v>
      </c>
    </row>
    <row r="6581" spans="1:3" x14ac:dyDescent="0.25">
      <c r="A6581" s="52">
        <v>4634756</v>
      </c>
      <c r="B6581" s="52" t="s">
        <v>6380</v>
      </c>
      <c r="C6581" s="52" t="e">
        <v>#N/A</v>
      </c>
    </row>
    <row r="6582" spans="1:3" x14ac:dyDescent="0.25">
      <c r="A6582" s="52">
        <v>4643995</v>
      </c>
      <c r="B6582" s="52" t="s">
        <v>6381</v>
      </c>
      <c r="C6582" s="52" t="e">
        <v>#N/A</v>
      </c>
    </row>
    <row r="6583" spans="1:3" x14ac:dyDescent="0.25">
      <c r="A6583" s="52">
        <v>4643996</v>
      </c>
      <c r="B6583" s="52" t="s">
        <v>6382</v>
      </c>
      <c r="C6583" s="52" t="e">
        <v>#N/A</v>
      </c>
    </row>
    <row r="6584" spans="1:3" x14ac:dyDescent="0.25">
      <c r="A6584" s="52">
        <v>4644954</v>
      </c>
      <c r="B6584" s="52" t="s">
        <v>6383</v>
      </c>
      <c r="C6584" s="52" t="e">
        <v>#N/A</v>
      </c>
    </row>
    <row r="6585" spans="1:3" x14ac:dyDescent="0.25">
      <c r="A6585" s="52">
        <v>4644955</v>
      </c>
      <c r="B6585" s="52" t="s">
        <v>6384</v>
      </c>
      <c r="C6585" s="52" t="e">
        <v>#N/A</v>
      </c>
    </row>
    <row r="6586" spans="1:3" x14ac:dyDescent="0.25">
      <c r="A6586" s="52">
        <v>4644956</v>
      </c>
      <c r="B6586" s="52" t="s">
        <v>6385</v>
      </c>
      <c r="C6586" s="52" t="e">
        <v>#N/A</v>
      </c>
    </row>
    <row r="6587" spans="1:3" x14ac:dyDescent="0.25">
      <c r="A6587" s="52">
        <v>4644957</v>
      </c>
      <c r="B6587" s="52" t="s">
        <v>6386</v>
      </c>
      <c r="C6587" s="52" t="e">
        <v>#N/A</v>
      </c>
    </row>
    <row r="6588" spans="1:3" x14ac:dyDescent="0.25">
      <c r="A6588" s="52">
        <v>4644958</v>
      </c>
      <c r="B6588" s="52" t="s">
        <v>6387</v>
      </c>
      <c r="C6588" s="52" t="e">
        <v>#N/A</v>
      </c>
    </row>
    <row r="6589" spans="1:3" x14ac:dyDescent="0.25">
      <c r="A6589" s="52">
        <v>4646535</v>
      </c>
      <c r="B6589" s="52" t="s">
        <v>6388</v>
      </c>
      <c r="C6589" s="52" t="e">
        <v>#N/A</v>
      </c>
    </row>
    <row r="6590" spans="1:3" x14ac:dyDescent="0.25">
      <c r="A6590" s="52">
        <v>4646678</v>
      </c>
      <c r="B6590" s="52" t="s">
        <v>6389</v>
      </c>
      <c r="C6590" s="52" t="e">
        <v>#N/A</v>
      </c>
    </row>
    <row r="6591" spans="1:3" x14ac:dyDescent="0.25">
      <c r="A6591" s="52">
        <v>4646679</v>
      </c>
      <c r="B6591" s="52" t="s">
        <v>6390</v>
      </c>
      <c r="C6591" s="52" t="e">
        <v>#N/A</v>
      </c>
    </row>
    <row r="6592" spans="1:3" x14ac:dyDescent="0.25">
      <c r="A6592" s="52">
        <v>4647989</v>
      </c>
      <c r="B6592" s="52" t="s">
        <v>6391</v>
      </c>
      <c r="C6592" s="52" t="s">
        <v>33</v>
      </c>
    </row>
    <row r="6593" spans="1:3" x14ac:dyDescent="0.25">
      <c r="A6593" s="52">
        <v>4647990</v>
      </c>
      <c r="B6593" s="52" t="s">
        <v>6392</v>
      </c>
      <c r="C6593" s="52" t="e">
        <v>#N/A</v>
      </c>
    </row>
    <row r="6594" spans="1:3" x14ac:dyDescent="0.25">
      <c r="A6594" s="52">
        <v>4647991</v>
      </c>
      <c r="B6594" s="52" t="s">
        <v>6393</v>
      </c>
      <c r="C6594" s="52" t="e">
        <v>#N/A</v>
      </c>
    </row>
    <row r="6595" spans="1:3" x14ac:dyDescent="0.25">
      <c r="A6595" s="52">
        <v>4648684</v>
      </c>
      <c r="B6595" s="52" t="s">
        <v>6394</v>
      </c>
      <c r="C6595" s="52" t="e">
        <v>#N/A</v>
      </c>
    </row>
    <row r="6596" spans="1:3" x14ac:dyDescent="0.25">
      <c r="A6596" s="52">
        <v>4650042</v>
      </c>
      <c r="B6596" s="52" t="s">
        <v>6395</v>
      </c>
      <c r="C6596" s="52" t="s">
        <v>36</v>
      </c>
    </row>
    <row r="6597" spans="1:3" x14ac:dyDescent="0.25">
      <c r="A6597" s="52">
        <v>4650043</v>
      </c>
      <c r="B6597" s="52" t="s">
        <v>6396</v>
      </c>
      <c r="C6597" s="52" t="s">
        <v>36</v>
      </c>
    </row>
    <row r="6598" spans="1:3" x14ac:dyDescent="0.25">
      <c r="A6598" s="52">
        <v>4650044</v>
      </c>
      <c r="B6598" s="52" t="s">
        <v>6397</v>
      </c>
      <c r="C6598" s="52" t="s">
        <v>36</v>
      </c>
    </row>
    <row r="6599" spans="1:3" x14ac:dyDescent="0.25">
      <c r="A6599" s="52">
        <v>4650045</v>
      </c>
      <c r="B6599" s="52" t="s">
        <v>6398</v>
      </c>
      <c r="C6599" s="52" t="s">
        <v>36</v>
      </c>
    </row>
    <row r="6600" spans="1:3" x14ac:dyDescent="0.25">
      <c r="A6600" s="52">
        <v>4650046</v>
      </c>
      <c r="B6600" s="52" t="s">
        <v>6399</v>
      </c>
      <c r="C6600" s="52" t="s">
        <v>36</v>
      </c>
    </row>
    <row r="6601" spans="1:3" x14ac:dyDescent="0.25">
      <c r="A6601" s="52">
        <v>4650047</v>
      </c>
      <c r="B6601" s="52" t="s">
        <v>6400</v>
      </c>
      <c r="C6601" s="52" t="s">
        <v>36</v>
      </c>
    </row>
    <row r="6602" spans="1:3" x14ac:dyDescent="0.25">
      <c r="A6602" s="52">
        <v>4650048</v>
      </c>
      <c r="B6602" s="52" t="s">
        <v>6401</v>
      </c>
      <c r="C6602" s="52" t="s">
        <v>36</v>
      </c>
    </row>
    <row r="6603" spans="1:3" x14ac:dyDescent="0.25">
      <c r="A6603" s="52">
        <v>4650049</v>
      </c>
      <c r="B6603" s="52" t="s">
        <v>6402</v>
      </c>
      <c r="C6603" s="52" t="s">
        <v>36</v>
      </c>
    </row>
    <row r="6604" spans="1:3" x14ac:dyDescent="0.25">
      <c r="A6604" s="52">
        <v>4650050</v>
      </c>
      <c r="B6604" s="52" t="s">
        <v>6403</v>
      </c>
      <c r="C6604" s="52" t="s">
        <v>36</v>
      </c>
    </row>
    <row r="6605" spans="1:3" x14ac:dyDescent="0.25">
      <c r="A6605" s="52">
        <v>4650715</v>
      </c>
      <c r="B6605" s="52" t="s">
        <v>6404</v>
      </c>
      <c r="C6605" s="52" t="e">
        <v>#N/A</v>
      </c>
    </row>
    <row r="6606" spans="1:3" x14ac:dyDescent="0.25">
      <c r="A6606" s="52">
        <v>4650716</v>
      </c>
      <c r="B6606" s="52" t="s">
        <v>6405</v>
      </c>
      <c r="C6606" s="52" t="e">
        <v>#N/A</v>
      </c>
    </row>
    <row r="6607" spans="1:3" x14ac:dyDescent="0.25">
      <c r="A6607" s="52">
        <v>4650717</v>
      </c>
      <c r="B6607" s="52" t="s">
        <v>6406</v>
      </c>
      <c r="C6607" s="52" t="e">
        <v>#N/A</v>
      </c>
    </row>
    <row r="6608" spans="1:3" x14ac:dyDescent="0.25">
      <c r="A6608" s="52">
        <v>4650718</v>
      </c>
      <c r="B6608" s="52" t="s">
        <v>6407</v>
      </c>
      <c r="C6608" s="52" t="e">
        <v>#N/A</v>
      </c>
    </row>
    <row r="6609" spans="1:3" x14ac:dyDescent="0.25">
      <c r="A6609" s="52">
        <v>4650719</v>
      </c>
      <c r="B6609" s="52" t="s">
        <v>6408</v>
      </c>
      <c r="C6609" s="52" t="e">
        <v>#N/A</v>
      </c>
    </row>
    <row r="6610" spans="1:3" x14ac:dyDescent="0.25">
      <c r="A6610" s="52">
        <v>4650720</v>
      </c>
      <c r="B6610" s="52" t="s">
        <v>6409</v>
      </c>
      <c r="C6610" s="52" t="e">
        <v>#N/A</v>
      </c>
    </row>
    <row r="6611" spans="1:3" x14ac:dyDescent="0.25">
      <c r="A6611" s="52">
        <v>4650721</v>
      </c>
      <c r="B6611" s="52" t="s">
        <v>6410</v>
      </c>
      <c r="C6611" s="52" t="e">
        <v>#N/A</v>
      </c>
    </row>
    <row r="6612" spans="1:3" x14ac:dyDescent="0.25">
      <c r="A6612" s="52">
        <v>4650722</v>
      </c>
      <c r="B6612" s="52" t="s">
        <v>6411</v>
      </c>
      <c r="C6612" s="52" t="e">
        <v>#N/A</v>
      </c>
    </row>
    <row r="6613" spans="1:3" x14ac:dyDescent="0.25">
      <c r="A6613" s="52">
        <v>4665457</v>
      </c>
      <c r="B6613" s="52" t="s">
        <v>6412</v>
      </c>
      <c r="C6613" s="52" t="s">
        <v>33</v>
      </c>
    </row>
    <row r="6614" spans="1:3" x14ac:dyDescent="0.25">
      <c r="A6614" s="52">
        <v>4667196</v>
      </c>
      <c r="B6614" s="52" t="s">
        <v>6413</v>
      </c>
      <c r="C6614" s="52" t="e">
        <v>#N/A</v>
      </c>
    </row>
    <row r="6615" spans="1:3" x14ac:dyDescent="0.25">
      <c r="A6615" s="52">
        <v>6771079</v>
      </c>
      <c r="B6615" s="52" t="s">
        <v>6414</v>
      </c>
      <c r="C6615" s="52" t="e">
        <v>#N/A</v>
      </c>
    </row>
    <row r="6616" spans="1:3" x14ac:dyDescent="0.25">
      <c r="A6616" s="52">
        <v>6771222</v>
      </c>
      <c r="B6616" s="52" t="s">
        <v>6415</v>
      </c>
      <c r="C6616" s="52" t="e">
        <v>#N/A</v>
      </c>
    </row>
    <row r="6617" spans="1:3" x14ac:dyDescent="0.25">
      <c r="A6617" s="52">
        <v>6771337</v>
      </c>
      <c r="B6617" s="52" t="s">
        <v>6416</v>
      </c>
      <c r="C6617" s="52" t="e">
        <v>#N/A</v>
      </c>
    </row>
    <row r="6618" spans="1:3" x14ac:dyDescent="0.25">
      <c r="A6618" s="52">
        <v>6771451</v>
      </c>
      <c r="B6618" s="52" t="s">
        <v>6417</v>
      </c>
      <c r="C6618" s="52" t="e">
        <v>#N/A</v>
      </c>
    </row>
    <row r="6619" spans="1:3" x14ac:dyDescent="0.25">
      <c r="A6619" s="52">
        <v>6771453</v>
      </c>
      <c r="B6619" s="52" t="s">
        <v>6418</v>
      </c>
      <c r="C6619" s="52" t="e">
        <v>#N/A</v>
      </c>
    </row>
    <row r="6620" spans="1:3" x14ac:dyDescent="0.25">
      <c r="A6620" s="52">
        <v>6771454</v>
      </c>
      <c r="B6620" s="52" t="s">
        <v>6419</v>
      </c>
      <c r="C6620" s="52" t="e">
        <v>#N/A</v>
      </c>
    </row>
    <row r="6621" spans="1:3" x14ac:dyDescent="0.25">
      <c r="A6621" s="52">
        <v>6771455</v>
      </c>
      <c r="B6621" s="52" t="s">
        <v>6420</v>
      </c>
      <c r="C6621" s="52" t="e">
        <v>#N/A</v>
      </c>
    </row>
    <row r="6622" spans="1:3" x14ac:dyDescent="0.25">
      <c r="A6622" s="52">
        <v>6771456</v>
      </c>
      <c r="B6622" s="52" t="s">
        <v>6421</v>
      </c>
      <c r="C6622" s="52" t="e">
        <v>#N/A</v>
      </c>
    </row>
    <row r="6623" spans="1:3" x14ac:dyDescent="0.25">
      <c r="A6623" s="52">
        <v>6771458</v>
      </c>
      <c r="B6623" s="52" t="s">
        <v>6422</v>
      </c>
      <c r="C6623" s="52" t="e">
        <v>#N/A</v>
      </c>
    </row>
    <row r="6624" spans="1:3" x14ac:dyDescent="0.25">
      <c r="A6624" s="52">
        <v>6771459</v>
      </c>
      <c r="B6624" s="52" t="s">
        <v>6423</v>
      </c>
      <c r="C6624" s="52" t="e">
        <v>#N/A</v>
      </c>
    </row>
    <row r="6625" spans="1:3" x14ac:dyDescent="0.25">
      <c r="A6625" s="52">
        <v>6771460</v>
      </c>
      <c r="B6625" s="52" t="s">
        <v>6424</v>
      </c>
      <c r="C6625" s="52" t="e">
        <v>#N/A</v>
      </c>
    </row>
    <row r="6626" spans="1:3" x14ac:dyDescent="0.25">
      <c r="A6626" s="52">
        <v>6771799</v>
      </c>
      <c r="B6626" s="52" t="s">
        <v>6425</v>
      </c>
      <c r="C6626" s="52" t="e">
        <v>#N/A</v>
      </c>
    </row>
    <row r="6627" spans="1:3" x14ac:dyDescent="0.25">
      <c r="A6627" s="52">
        <v>6771800</v>
      </c>
      <c r="B6627" s="52" t="s">
        <v>6426</v>
      </c>
      <c r="C6627" s="52" t="e">
        <v>#N/A</v>
      </c>
    </row>
    <row r="6628" spans="1:3" x14ac:dyDescent="0.25">
      <c r="A6628" s="52">
        <v>6771802</v>
      </c>
      <c r="B6628" s="52" t="s">
        <v>6427</v>
      </c>
      <c r="C6628" s="52" t="e">
        <v>#N/A</v>
      </c>
    </row>
    <row r="6629" spans="1:3" x14ac:dyDescent="0.25">
      <c r="A6629" s="52">
        <v>6771803</v>
      </c>
      <c r="B6629" s="52" t="s">
        <v>6428</v>
      </c>
      <c r="C6629" s="52" t="e">
        <v>#N/A</v>
      </c>
    </row>
    <row r="6630" spans="1:3" x14ac:dyDescent="0.25">
      <c r="A6630" s="52">
        <v>6771804</v>
      </c>
      <c r="B6630" s="52" t="s">
        <v>6429</v>
      </c>
      <c r="C6630" s="52" t="e">
        <v>#N/A</v>
      </c>
    </row>
    <row r="6631" spans="1:3" x14ac:dyDescent="0.25">
      <c r="A6631" s="52">
        <v>6771805</v>
      </c>
      <c r="B6631" s="52" t="s">
        <v>6430</v>
      </c>
      <c r="C6631" s="52" t="e">
        <v>#N/A</v>
      </c>
    </row>
    <row r="6632" spans="1:3" x14ac:dyDescent="0.25">
      <c r="A6632" s="52">
        <v>6772588</v>
      </c>
      <c r="B6632" s="52" t="s">
        <v>6431</v>
      </c>
      <c r="C6632" s="52" t="e">
        <v>#N/A</v>
      </c>
    </row>
    <row r="6633" spans="1:3" x14ac:dyDescent="0.25">
      <c r="A6633" s="52">
        <v>6774418</v>
      </c>
      <c r="B6633" s="52" t="s">
        <v>6432</v>
      </c>
      <c r="C6633" s="52" t="e">
        <v>#N/A</v>
      </c>
    </row>
    <row r="6634" spans="1:3" x14ac:dyDescent="0.25">
      <c r="A6634" s="52">
        <v>6775737</v>
      </c>
      <c r="B6634" s="52" t="s">
        <v>6433</v>
      </c>
      <c r="C6634" s="52" t="e">
        <v>#N/A</v>
      </c>
    </row>
    <row r="6635" spans="1:3" x14ac:dyDescent="0.25">
      <c r="A6635" s="52">
        <v>6775738</v>
      </c>
      <c r="B6635" s="52" t="s">
        <v>6434</v>
      </c>
      <c r="C6635" s="52" t="e">
        <v>#N/A</v>
      </c>
    </row>
    <row r="6636" spans="1:3" x14ac:dyDescent="0.25">
      <c r="A6636" s="52">
        <v>6775790</v>
      </c>
      <c r="B6636" s="52" t="s">
        <v>6435</v>
      </c>
      <c r="C6636" s="52" t="e">
        <v>#N/A</v>
      </c>
    </row>
    <row r="6637" spans="1:3" x14ac:dyDescent="0.25">
      <c r="A6637" s="52">
        <v>6775791</v>
      </c>
      <c r="B6637" s="52" t="s">
        <v>6436</v>
      </c>
      <c r="C6637" s="52" t="e">
        <v>#N/A</v>
      </c>
    </row>
    <row r="6638" spans="1:3" x14ac:dyDescent="0.25">
      <c r="A6638" s="52">
        <v>6778417</v>
      </c>
      <c r="B6638" s="52" t="s">
        <v>6437</v>
      </c>
      <c r="C6638" s="52" t="e">
        <v>#N/A</v>
      </c>
    </row>
    <row r="6639" spans="1:3" x14ac:dyDescent="0.25">
      <c r="A6639" s="52">
        <v>6779664</v>
      </c>
      <c r="B6639" s="52" t="s">
        <v>6438</v>
      </c>
      <c r="C6639" s="52" t="e">
        <v>#N/A</v>
      </c>
    </row>
    <row r="6640" spans="1:3" x14ac:dyDescent="0.25">
      <c r="A6640" s="52">
        <v>6779845</v>
      </c>
      <c r="B6640" s="52" t="s">
        <v>6439</v>
      </c>
      <c r="C6640" s="52" t="e">
        <v>#N/A</v>
      </c>
    </row>
    <row r="6641" spans="1:3" x14ac:dyDescent="0.25">
      <c r="A6641" s="52">
        <v>6779846</v>
      </c>
      <c r="B6641" s="52" t="s">
        <v>6440</v>
      </c>
      <c r="C6641" s="52" t="e">
        <v>#N/A</v>
      </c>
    </row>
    <row r="6642" spans="1:3" x14ac:dyDescent="0.25">
      <c r="A6642" s="52">
        <v>6780392</v>
      </c>
      <c r="B6642" s="52" t="s">
        <v>6441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6442</v>
      </c>
      <c r="C6644" s="52" t="e">
        <v>#N/A</v>
      </c>
    </row>
    <row r="6645" spans="1:3" x14ac:dyDescent="0.25">
      <c r="A6645" s="52">
        <v>6787359</v>
      </c>
      <c r="B6645" s="52" t="s">
        <v>6443</v>
      </c>
      <c r="C6645" s="52" t="e">
        <v>#N/A</v>
      </c>
    </row>
    <row r="6646" spans="1:3" x14ac:dyDescent="0.25">
      <c r="A6646" s="52">
        <v>6787362</v>
      </c>
      <c r="B6646" s="52" t="s">
        <v>6444</v>
      </c>
      <c r="C6646" s="52" t="e">
        <v>#N/A</v>
      </c>
    </row>
    <row r="6647" spans="1:3" x14ac:dyDescent="0.25">
      <c r="A6647" s="52">
        <v>6788833</v>
      </c>
      <c r="B6647" s="52" t="s">
        <v>6445</v>
      </c>
      <c r="C6647" s="52" t="e">
        <v>#N/A</v>
      </c>
    </row>
    <row r="6648" spans="1:3" x14ac:dyDescent="0.25">
      <c r="A6648" s="52">
        <v>6790113</v>
      </c>
      <c r="B6648" s="52" t="s">
        <v>6446</v>
      </c>
      <c r="C6648" s="52" t="e">
        <v>#N/A</v>
      </c>
    </row>
    <row r="6649" spans="1:3" x14ac:dyDescent="0.25">
      <c r="A6649" s="52">
        <v>6792155</v>
      </c>
      <c r="B6649" s="52" t="s">
        <v>6447</v>
      </c>
      <c r="C6649" s="52" t="e">
        <v>#N/A</v>
      </c>
    </row>
    <row r="6650" spans="1:3" x14ac:dyDescent="0.25">
      <c r="A6650" s="52">
        <v>6792156</v>
      </c>
      <c r="B6650" s="52" t="s">
        <v>6448</v>
      </c>
      <c r="C6650" s="52" t="e">
        <v>#N/A</v>
      </c>
    </row>
    <row r="6651" spans="1:3" x14ac:dyDescent="0.25">
      <c r="A6651" s="52">
        <v>6792493</v>
      </c>
      <c r="B6651" s="52" t="s">
        <v>6449</v>
      </c>
      <c r="C6651" s="52" t="s">
        <v>27</v>
      </c>
    </row>
    <row r="6652" spans="1:3" x14ac:dyDescent="0.25">
      <c r="A6652" s="52">
        <v>6792675</v>
      </c>
      <c r="B6652" s="52" t="s">
        <v>6450</v>
      </c>
      <c r="C6652" s="52" t="e">
        <v>#N/A</v>
      </c>
    </row>
    <row r="6653" spans="1:3" x14ac:dyDescent="0.25">
      <c r="A6653" s="52">
        <v>6792914</v>
      </c>
      <c r="B6653" s="52" t="s">
        <v>6451</v>
      </c>
      <c r="C6653" s="52" t="e">
        <v>#N/A</v>
      </c>
    </row>
    <row r="6654" spans="1:3" x14ac:dyDescent="0.25">
      <c r="A6654" s="52">
        <v>6793830</v>
      </c>
      <c r="B6654" s="52" t="s">
        <v>6452</v>
      </c>
      <c r="C6654" s="52" t="e">
        <v>#N/A</v>
      </c>
    </row>
    <row r="6655" spans="1:3" x14ac:dyDescent="0.25">
      <c r="A6655" s="52">
        <v>6794243</v>
      </c>
      <c r="B6655" s="52" t="s">
        <v>6453</v>
      </c>
      <c r="C6655" s="52" t="e">
        <v>#N/A</v>
      </c>
    </row>
    <row r="6656" spans="1:3" x14ac:dyDescent="0.25">
      <c r="A6656" s="52">
        <v>6794484</v>
      </c>
      <c r="B6656" s="52" t="s">
        <v>6454</v>
      </c>
      <c r="C6656" s="52" t="s">
        <v>27</v>
      </c>
    </row>
    <row r="6657" spans="1:3" x14ac:dyDescent="0.25">
      <c r="A6657" s="52">
        <v>6795867</v>
      </c>
      <c r="B6657" s="52" t="s">
        <v>6455</v>
      </c>
      <c r="C6657" s="52" t="e">
        <v>#N/A</v>
      </c>
    </row>
    <row r="6658" spans="1:3" x14ac:dyDescent="0.25">
      <c r="A6658" s="52">
        <v>6795887</v>
      </c>
      <c r="B6658" s="52" t="s">
        <v>6456</v>
      </c>
      <c r="C6658" s="52" t="e">
        <v>#N/A</v>
      </c>
    </row>
    <row r="6659" spans="1:3" x14ac:dyDescent="0.25">
      <c r="A6659" s="52">
        <v>6796906</v>
      </c>
      <c r="B6659" s="52" t="s">
        <v>6457</v>
      </c>
      <c r="C6659" s="52" t="e">
        <v>#N/A</v>
      </c>
    </row>
    <row r="6660" spans="1:3" x14ac:dyDescent="0.25">
      <c r="A6660" s="52">
        <v>6798311</v>
      </c>
      <c r="B6660" s="52" t="s">
        <v>6458</v>
      </c>
      <c r="C6660" s="52" t="s">
        <v>27</v>
      </c>
    </row>
    <row r="6661" spans="1:3" x14ac:dyDescent="0.25">
      <c r="A6661" s="52">
        <v>6799484</v>
      </c>
      <c r="B6661" s="52" t="s">
        <v>6459</v>
      </c>
      <c r="C6661" s="52" t="s">
        <v>27</v>
      </c>
    </row>
    <row r="6662" spans="1:3" x14ac:dyDescent="0.25">
      <c r="A6662" s="52">
        <v>6799880</v>
      </c>
      <c r="B6662" s="52" t="s">
        <v>6460</v>
      </c>
      <c r="C6662" s="52" t="e">
        <v>#N/A</v>
      </c>
    </row>
    <row r="6663" spans="1:3" x14ac:dyDescent="0.25">
      <c r="A6663" s="52">
        <v>6801392</v>
      </c>
      <c r="B6663" s="52" t="s">
        <v>6461</v>
      </c>
      <c r="C6663" s="52" t="e">
        <v>#N/A</v>
      </c>
    </row>
    <row r="6664" spans="1:3" x14ac:dyDescent="0.25">
      <c r="A6664" s="52">
        <v>6801443</v>
      </c>
      <c r="B6664" s="52" t="s">
        <v>6462</v>
      </c>
      <c r="C6664" s="52" t="e">
        <v>#N/A</v>
      </c>
    </row>
    <row r="6665" spans="1:3" x14ac:dyDescent="0.25">
      <c r="A6665" s="52">
        <v>6801980</v>
      </c>
      <c r="B6665" s="52" t="s">
        <v>6463</v>
      </c>
      <c r="C6665" s="52" t="e">
        <v>#N/A</v>
      </c>
    </row>
    <row r="6666" spans="1:3" x14ac:dyDescent="0.25">
      <c r="A6666" s="52">
        <v>6801981</v>
      </c>
      <c r="B6666" s="52" t="s">
        <v>6464</v>
      </c>
      <c r="C6666" s="52" t="e">
        <v>#N/A</v>
      </c>
    </row>
    <row r="6667" spans="1:3" x14ac:dyDescent="0.25">
      <c r="A6667" s="52">
        <v>6801982</v>
      </c>
      <c r="B6667" s="52" t="s">
        <v>6465</v>
      </c>
      <c r="C6667" s="52" t="e">
        <v>#N/A</v>
      </c>
    </row>
    <row r="6668" spans="1:3" x14ac:dyDescent="0.25">
      <c r="A6668" s="52">
        <v>6801983</v>
      </c>
      <c r="B6668" s="52" t="s">
        <v>6466</v>
      </c>
      <c r="C6668" s="52" t="e">
        <v>#N/A</v>
      </c>
    </row>
    <row r="6669" spans="1:3" x14ac:dyDescent="0.25">
      <c r="A6669" s="52">
        <v>6801985</v>
      </c>
      <c r="B6669" s="52" t="s">
        <v>6467</v>
      </c>
      <c r="C6669" s="52" t="e">
        <v>#N/A</v>
      </c>
    </row>
    <row r="6670" spans="1:3" x14ac:dyDescent="0.25">
      <c r="A6670" s="52">
        <v>6801986</v>
      </c>
      <c r="B6670" s="52" t="s">
        <v>6468</v>
      </c>
      <c r="C6670" s="52" t="e">
        <v>#N/A</v>
      </c>
    </row>
    <row r="6671" spans="1:3" x14ac:dyDescent="0.25">
      <c r="A6671" s="52">
        <v>6804706</v>
      </c>
      <c r="B6671" s="52" t="s">
        <v>6469</v>
      </c>
      <c r="C6671" s="52" t="s">
        <v>33</v>
      </c>
    </row>
    <row r="6672" spans="1:3" x14ac:dyDescent="0.25">
      <c r="A6672" s="52">
        <v>6807038</v>
      </c>
      <c r="B6672" s="52" t="s">
        <v>6470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6471</v>
      </c>
      <c r="C6674" s="52" t="s">
        <v>33</v>
      </c>
    </row>
    <row r="6675" spans="1:3" x14ac:dyDescent="0.25">
      <c r="A6675" s="52">
        <v>4682413</v>
      </c>
      <c r="B6675" s="52" t="s">
        <v>6472</v>
      </c>
      <c r="C6675" s="52" t="s">
        <v>33</v>
      </c>
    </row>
    <row r="6676" spans="1:3" x14ac:dyDescent="0.25">
      <c r="A6676" s="52">
        <v>4679895</v>
      </c>
      <c r="B6676" s="52" t="s">
        <v>6473</v>
      </c>
      <c r="C6676" s="52" t="e">
        <v>#N/A</v>
      </c>
    </row>
    <row r="6677" spans="1:3" x14ac:dyDescent="0.25">
      <c r="A6677" s="52">
        <v>6808631</v>
      </c>
      <c r="B6677" s="52" t="s">
        <v>6474</v>
      </c>
      <c r="C6677" s="52" t="e">
        <v>#N/A</v>
      </c>
    </row>
    <row r="6678" spans="1:3" x14ac:dyDescent="0.25">
      <c r="A6678" s="52">
        <v>4673304</v>
      </c>
      <c r="B6678" s="52" t="s">
        <v>6475</v>
      </c>
      <c r="C6678" s="52" t="e">
        <v>#N/A</v>
      </c>
    </row>
    <row r="6679" spans="1:3" x14ac:dyDescent="0.25">
      <c r="A6679" s="52">
        <v>6808649</v>
      </c>
      <c r="B6679" s="52" t="s">
        <v>6476</v>
      </c>
      <c r="C6679" s="52" t="e">
        <v>#N/A</v>
      </c>
    </row>
    <row r="6680" spans="1:3" x14ac:dyDescent="0.25">
      <c r="A6680" s="52">
        <v>6809152</v>
      </c>
      <c r="B6680" s="52" t="s">
        <v>6477</v>
      </c>
      <c r="C6680" s="52" t="e">
        <v>#N/A</v>
      </c>
    </row>
    <row r="6681" spans="1:3" x14ac:dyDescent="0.25">
      <c r="A6681" s="52">
        <v>6810650</v>
      </c>
      <c r="B6681" s="52" t="s">
        <v>6478</v>
      </c>
      <c r="C6681" s="52" t="e">
        <v>#N/A</v>
      </c>
    </row>
    <row r="6682" spans="1:3" x14ac:dyDescent="0.25">
      <c r="A6682" s="52">
        <v>6803414</v>
      </c>
      <c r="B6682" s="52" t="s">
        <v>6479</v>
      </c>
      <c r="C6682" s="52" t="e">
        <v>#N/A</v>
      </c>
    </row>
    <row r="6683" spans="1:3" x14ac:dyDescent="0.25">
      <c r="A6683" s="52">
        <v>4682615</v>
      </c>
      <c r="B6683" s="52" t="s">
        <v>6480</v>
      </c>
      <c r="C6683" s="52" t="e">
        <v>#N/A</v>
      </c>
    </row>
    <row r="6684" spans="1:3" x14ac:dyDescent="0.25">
      <c r="A6684" s="52">
        <v>4682983</v>
      </c>
      <c r="B6684" s="52" t="s">
        <v>6481</v>
      </c>
      <c r="C6684" s="52" t="e">
        <v>#N/A</v>
      </c>
    </row>
    <row r="6685" spans="1:3" x14ac:dyDescent="0.25">
      <c r="A6685" s="52">
        <v>6807050</v>
      </c>
      <c r="B6685" s="52" t="s">
        <v>6482</v>
      </c>
      <c r="C6685" s="52" t="e">
        <v>#N/A</v>
      </c>
    </row>
    <row r="6686" spans="1:3" x14ac:dyDescent="0.25">
      <c r="A6686" s="52">
        <v>6808629</v>
      </c>
      <c r="B6686" s="52" t="s">
        <v>6483</v>
      </c>
      <c r="C6686" s="52" t="e">
        <v>#N/A</v>
      </c>
    </row>
    <row r="6687" spans="1:3" x14ac:dyDescent="0.25">
      <c r="A6687" s="52">
        <v>6808622</v>
      </c>
      <c r="B6687" s="52" t="s">
        <v>6484</v>
      </c>
      <c r="C6687" s="52" t="e">
        <v>#N/A</v>
      </c>
    </row>
    <row r="6688" spans="1:3" x14ac:dyDescent="0.25">
      <c r="A6688" s="52">
        <v>6807040</v>
      </c>
      <c r="B6688" s="52" t="s">
        <v>6485</v>
      </c>
      <c r="C6688" s="52" t="e">
        <v>#N/A</v>
      </c>
    </row>
    <row r="6689" spans="1:3" x14ac:dyDescent="0.25">
      <c r="A6689" s="52">
        <v>4661799</v>
      </c>
      <c r="B6689" s="52" t="s">
        <v>6486</v>
      </c>
      <c r="C6689" s="52" t="e">
        <v>#N/A</v>
      </c>
    </row>
    <row r="6690" spans="1:3" x14ac:dyDescent="0.25">
      <c r="A6690" s="52">
        <v>6807077</v>
      </c>
      <c r="B6690" s="52" t="s">
        <v>6487</v>
      </c>
      <c r="C6690" s="52" t="e">
        <v>#N/A</v>
      </c>
    </row>
    <row r="6691" spans="1:3" x14ac:dyDescent="0.25">
      <c r="A6691" s="52">
        <v>6792484</v>
      </c>
      <c r="B6691" s="52" t="s">
        <v>6488</v>
      </c>
      <c r="C6691" s="52" t="e">
        <v>#N/A</v>
      </c>
    </row>
    <row r="6692" spans="1:3" x14ac:dyDescent="0.25">
      <c r="A6692" s="52">
        <v>6810051</v>
      </c>
      <c r="B6692" s="52" t="s">
        <v>6489</v>
      </c>
      <c r="C6692" s="52" t="e">
        <v>#N/A</v>
      </c>
    </row>
    <row r="6693" spans="1:3" x14ac:dyDescent="0.25">
      <c r="A6693" s="52">
        <v>6807053</v>
      </c>
      <c r="B6693" s="52" t="s">
        <v>6490</v>
      </c>
      <c r="C6693" s="52" t="e">
        <v>#N/A</v>
      </c>
    </row>
    <row r="6694" spans="1:3" x14ac:dyDescent="0.25">
      <c r="A6694" s="52">
        <v>6810453</v>
      </c>
      <c r="B6694" s="52" t="s">
        <v>6491</v>
      </c>
      <c r="C6694" s="52" t="e">
        <v>#N/A</v>
      </c>
    </row>
    <row r="6695" spans="1:3" x14ac:dyDescent="0.25">
      <c r="A6695" s="52">
        <v>6798541</v>
      </c>
      <c r="B6695" s="52" t="s">
        <v>6492</v>
      </c>
      <c r="C6695" s="52" t="e">
        <v>#N/A</v>
      </c>
    </row>
    <row r="6696" spans="1:3" x14ac:dyDescent="0.25">
      <c r="A6696" s="52">
        <v>4664005</v>
      </c>
      <c r="B6696" s="52" t="s">
        <v>6493</v>
      </c>
      <c r="C6696" s="52" t="e">
        <v>#N/A</v>
      </c>
    </row>
    <row r="6697" spans="1:3" x14ac:dyDescent="0.25">
      <c r="A6697" s="52">
        <v>6810050</v>
      </c>
      <c r="B6697" s="52" t="s">
        <v>6494</v>
      </c>
      <c r="C6697" s="52" t="e">
        <v>#N/A</v>
      </c>
    </row>
    <row r="6698" spans="1:3" x14ac:dyDescent="0.25">
      <c r="A6698" s="52">
        <v>4679894</v>
      </c>
      <c r="B6698" s="52" t="s">
        <v>6497</v>
      </c>
      <c r="C6698" s="52" t="e">
        <v>#N/A</v>
      </c>
    </row>
    <row r="6699" spans="1:3" x14ac:dyDescent="0.25">
      <c r="A6699" s="52">
        <v>6810180</v>
      </c>
      <c r="B6699" s="52" t="s">
        <v>6498</v>
      </c>
      <c r="C6699" s="52" t="e">
        <v>#N/A</v>
      </c>
    </row>
    <row r="6700" spans="1:3" x14ac:dyDescent="0.25">
      <c r="A6700" s="52">
        <v>6808858</v>
      </c>
      <c r="B6700" s="52" t="s">
        <v>6499</v>
      </c>
      <c r="C6700" s="52" t="e">
        <v>#N/A</v>
      </c>
    </row>
    <row r="6701" spans="1:3" x14ac:dyDescent="0.25">
      <c r="A6701" s="52">
        <v>6810651</v>
      </c>
      <c r="B6701" s="52" t="s">
        <v>6500</v>
      </c>
      <c r="C6701" s="52" t="e">
        <v>#N/A</v>
      </c>
    </row>
    <row r="6702" spans="1:3" x14ac:dyDescent="0.25">
      <c r="A6702" s="52">
        <v>6805397</v>
      </c>
      <c r="B6702" s="52" t="s">
        <v>6501</v>
      </c>
      <c r="C6702" s="52" t="e">
        <v>#N/A</v>
      </c>
    </row>
    <row r="6703" spans="1:3" x14ac:dyDescent="0.25">
      <c r="A6703" s="52">
        <v>6790482</v>
      </c>
      <c r="B6703" s="52" t="s">
        <v>6502</v>
      </c>
      <c r="C6703" s="52" t="e">
        <v>#N/A</v>
      </c>
    </row>
    <row r="6704" spans="1:3" x14ac:dyDescent="0.25">
      <c r="A6704" s="52">
        <v>6790485</v>
      </c>
      <c r="B6704" s="52" t="s">
        <v>6503</v>
      </c>
      <c r="C6704" s="52" t="e">
        <v>#N/A</v>
      </c>
    </row>
    <row r="6705" spans="1:3" x14ac:dyDescent="0.25">
      <c r="A6705" s="52">
        <v>4664003</v>
      </c>
      <c r="B6705" s="52" t="s">
        <v>6504</v>
      </c>
      <c r="C6705" s="52" t="e">
        <v>#N/A</v>
      </c>
    </row>
    <row r="6706" spans="1:3" x14ac:dyDescent="0.25">
      <c r="A6706" s="52">
        <v>4664006</v>
      </c>
      <c r="B6706" s="52" t="s">
        <v>6505</v>
      </c>
      <c r="C6706" s="52" t="e">
        <v>#N/A</v>
      </c>
    </row>
    <row r="6707" spans="1:3" x14ac:dyDescent="0.25">
      <c r="A6707" s="52">
        <v>6808303</v>
      </c>
      <c r="B6707" s="52" t="s">
        <v>6506</v>
      </c>
      <c r="C6707" s="52" t="e">
        <v>#N/A</v>
      </c>
    </row>
    <row r="6708" spans="1:3" x14ac:dyDescent="0.25">
      <c r="A6708" s="52">
        <v>6810263</v>
      </c>
      <c r="B6708" s="52" t="s">
        <v>6507</v>
      </c>
      <c r="C6708" s="52" t="e">
        <v>#N/A</v>
      </c>
    </row>
    <row r="6709" spans="1:3" x14ac:dyDescent="0.25">
      <c r="A6709" s="52">
        <v>6813720</v>
      </c>
      <c r="B6709" s="52" t="s">
        <v>6508</v>
      </c>
      <c r="C6709" s="52" t="e">
        <v>#N/A</v>
      </c>
    </row>
    <row r="6710" spans="1:3" x14ac:dyDescent="0.25">
      <c r="A6710" s="52">
        <v>6810357</v>
      </c>
      <c r="B6710" s="52" t="s">
        <v>6509</v>
      </c>
      <c r="C6710" s="52" t="e">
        <v>#N/A</v>
      </c>
    </row>
    <row r="6711" spans="1:3" x14ac:dyDescent="0.25">
      <c r="A6711" s="52">
        <v>6805456</v>
      </c>
      <c r="B6711" s="52" t="s">
        <v>6510</v>
      </c>
      <c r="C6711" s="52" t="e">
        <v>#N/A</v>
      </c>
    </row>
    <row r="6712" spans="1:3" x14ac:dyDescent="0.25">
      <c r="A6712" s="52">
        <v>4664007</v>
      </c>
      <c r="B6712" s="52" t="s">
        <v>6511</v>
      </c>
      <c r="C6712" s="52" t="e">
        <v>#N/A</v>
      </c>
    </row>
    <row r="6713" spans="1:3" x14ac:dyDescent="0.25">
      <c r="A6713" s="52">
        <v>6789856</v>
      </c>
      <c r="B6713" s="52" t="s">
        <v>6512</v>
      </c>
      <c r="C6713" s="52" t="e">
        <v>#N/A</v>
      </c>
    </row>
    <row r="6714" spans="1:3" x14ac:dyDescent="0.25">
      <c r="A6714" s="52">
        <v>4667452</v>
      </c>
      <c r="B6714" s="52" t="s">
        <v>6513</v>
      </c>
      <c r="C6714" s="52" t="e">
        <v>#N/A</v>
      </c>
    </row>
    <row r="6715" spans="1:3" x14ac:dyDescent="0.25">
      <c r="A6715" s="52">
        <v>6805446</v>
      </c>
      <c r="B6715" s="52" t="s">
        <v>6515</v>
      </c>
      <c r="C6715" s="52" t="e">
        <v>#N/A</v>
      </c>
    </row>
    <row r="6716" spans="1:3" x14ac:dyDescent="0.25">
      <c r="A6716" s="52">
        <v>6798031</v>
      </c>
      <c r="B6716" s="52" t="s">
        <v>6516</v>
      </c>
      <c r="C6716" s="52" t="e">
        <v>#N/A</v>
      </c>
    </row>
    <row r="6717" spans="1:3" x14ac:dyDescent="0.25">
      <c r="A6717" s="52">
        <v>4650028</v>
      </c>
      <c r="B6717" s="52" t="s">
        <v>6517</v>
      </c>
      <c r="C6717" s="52" t="e">
        <v>#N/A</v>
      </c>
    </row>
    <row r="6718" spans="1:3" x14ac:dyDescent="0.25">
      <c r="A6718" s="52">
        <v>4650027</v>
      </c>
      <c r="B6718" s="52" t="s">
        <v>6518</v>
      </c>
      <c r="C6718" s="52" t="e">
        <v>#N/A</v>
      </c>
    </row>
    <row r="6719" spans="1:3" x14ac:dyDescent="0.25">
      <c r="A6719" s="52">
        <v>6810434</v>
      </c>
      <c r="B6719" s="52" t="s">
        <v>6519</v>
      </c>
      <c r="C6719" s="52" t="e">
        <v>#N/A</v>
      </c>
    </row>
    <row r="6720" spans="1:3" x14ac:dyDescent="0.25">
      <c r="A6720" s="52">
        <v>4653184</v>
      </c>
      <c r="B6720" s="52" t="s">
        <v>6520</v>
      </c>
      <c r="C6720" s="52" t="e">
        <v>#N/A</v>
      </c>
    </row>
    <row r="6721" spans="1:3" x14ac:dyDescent="0.25">
      <c r="A6721" s="52">
        <v>6802210</v>
      </c>
      <c r="B6721" s="52" t="s">
        <v>6521</v>
      </c>
      <c r="C6721" s="52" t="e">
        <v>#N/A</v>
      </c>
    </row>
    <row r="6722" spans="1:3" x14ac:dyDescent="0.25">
      <c r="A6722" s="52">
        <v>6800638</v>
      </c>
      <c r="B6722" s="52" t="s">
        <v>6522</v>
      </c>
      <c r="C6722" s="52" t="e">
        <v>#N/A</v>
      </c>
    </row>
    <row r="6723" spans="1:3" x14ac:dyDescent="0.25">
      <c r="A6723" s="52">
        <v>6793835</v>
      </c>
      <c r="B6723" s="52" t="s">
        <v>6523</v>
      </c>
      <c r="C6723" s="52" t="e">
        <v>#N/A</v>
      </c>
    </row>
    <row r="6724" spans="1:3" x14ac:dyDescent="0.25">
      <c r="A6724" s="52">
        <v>4661798</v>
      </c>
      <c r="B6724" s="52" t="s">
        <v>6704</v>
      </c>
      <c r="C6724" s="52" t="e">
        <v>#N/A</v>
      </c>
    </row>
    <row r="6725" spans="1:3" x14ac:dyDescent="0.25">
      <c r="A6725" s="52">
        <v>6790190</v>
      </c>
      <c r="B6725" s="52" t="s">
        <v>6705</v>
      </c>
      <c r="C6725" s="52" t="e">
        <v>#N/A</v>
      </c>
    </row>
    <row r="6726" spans="1:3" x14ac:dyDescent="0.25">
      <c r="A6726" s="52">
        <v>6789864</v>
      </c>
      <c r="B6726" s="52" t="s">
        <v>6706</v>
      </c>
      <c r="C6726" s="52" t="e"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207"/>
  <sheetViews>
    <sheetView workbookViewId="0">
      <selection activeCell="B18" sqref="B18"/>
    </sheetView>
  </sheetViews>
  <sheetFormatPr defaultRowHeight="15" x14ac:dyDescent="0.25"/>
  <cols>
    <col min="1" max="1" width="8" bestFit="1" customWidth="1"/>
    <col min="2" max="2" width="35.5703125" bestFit="1" customWidth="1"/>
  </cols>
  <sheetData>
    <row r="1" spans="1:2" x14ac:dyDescent="0.25">
      <c r="A1" s="57" t="s">
        <v>6524</v>
      </c>
      <c r="B1" s="57" t="s">
        <v>6525</v>
      </c>
    </row>
    <row r="2" spans="1:2" x14ac:dyDescent="0.25">
      <c r="A2" s="56">
        <v>6774691</v>
      </c>
      <c r="B2" s="55" t="s">
        <v>6526</v>
      </c>
    </row>
    <row r="3" spans="1:2" x14ac:dyDescent="0.25">
      <c r="A3" s="56">
        <v>6772313</v>
      </c>
      <c r="B3" s="55" t="s">
        <v>6527</v>
      </c>
    </row>
    <row r="4" spans="1:2" x14ac:dyDescent="0.25">
      <c r="A4" s="56">
        <v>6772314</v>
      </c>
      <c r="B4" s="55" t="s">
        <v>6528</v>
      </c>
    </row>
    <row r="5" spans="1:2" x14ac:dyDescent="0.25">
      <c r="A5" s="56">
        <v>6779278</v>
      </c>
      <c r="B5" s="55" t="s">
        <v>6529</v>
      </c>
    </row>
    <row r="6" spans="1:2" x14ac:dyDescent="0.25">
      <c r="A6" s="56">
        <v>6772145</v>
      </c>
      <c r="B6" s="55" t="s">
        <v>6530</v>
      </c>
    </row>
    <row r="7" spans="1:2" x14ac:dyDescent="0.25">
      <c r="A7" s="56">
        <v>6794725</v>
      </c>
      <c r="B7" s="55" t="s">
        <v>6531</v>
      </c>
    </row>
    <row r="8" spans="1:2" x14ac:dyDescent="0.25">
      <c r="A8" s="56">
        <v>6794726</v>
      </c>
      <c r="B8" s="55" t="s">
        <v>6532</v>
      </c>
    </row>
    <row r="9" spans="1:2" x14ac:dyDescent="0.25">
      <c r="A9" s="56">
        <v>6796608</v>
      </c>
      <c r="B9" s="55" t="s">
        <v>6533</v>
      </c>
    </row>
    <row r="10" spans="1:2" x14ac:dyDescent="0.25">
      <c r="A10" s="56">
        <v>6796620</v>
      </c>
      <c r="B10" s="55" t="s">
        <v>6534</v>
      </c>
    </row>
    <row r="11" spans="1:2" x14ac:dyDescent="0.25">
      <c r="A11" s="56">
        <v>6796609</v>
      </c>
      <c r="B11" s="55" t="s">
        <v>6535</v>
      </c>
    </row>
    <row r="12" spans="1:2" x14ac:dyDescent="0.25">
      <c r="A12" s="56">
        <v>6794724</v>
      </c>
      <c r="B12" s="55" t="s">
        <v>6536</v>
      </c>
    </row>
    <row r="13" spans="1:2" x14ac:dyDescent="0.25">
      <c r="A13" s="56">
        <v>6793692</v>
      </c>
      <c r="B13" s="55" t="s">
        <v>6537</v>
      </c>
    </row>
    <row r="14" spans="1:2" x14ac:dyDescent="0.25">
      <c r="A14" s="56">
        <v>4611401</v>
      </c>
      <c r="B14" s="55" t="s">
        <v>6538</v>
      </c>
    </row>
    <row r="15" spans="1:2" x14ac:dyDescent="0.25">
      <c r="A15" s="56">
        <v>6787749</v>
      </c>
      <c r="B15" s="55" t="s">
        <v>6539</v>
      </c>
    </row>
    <row r="16" spans="1:2" x14ac:dyDescent="0.25">
      <c r="A16" s="56">
        <v>6790890</v>
      </c>
      <c r="B16" s="55" t="s">
        <v>6540</v>
      </c>
    </row>
    <row r="17" spans="1:2" x14ac:dyDescent="0.25">
      <c r="A17" s="56">
        <v>6787748</v>
      </c>
      <c r="B17" s="55" t="s">
        <v>6541</v>
      </c>
    </row>
    <row r="18" spans="1:2" x14ac:dyDescent="0.25">
      <c r="A18" s="56">
        <v>6783815</v>
      </c>
      <c r="B18" s="55" t="s">
        <v>6542</v>
      </c>
    </row>
    <row r="19" spans="1:2" x14ac:dyDescent="0.25">
      <c r="A19" s="56">
        <v>6783816</v>
      </c>
      <c r="B19" s="55" t="s">
        <v>6543</v>
      </c>
    </row>
    <row r="20" spans="1:2" x14ac:dyDescent="0.25">
      <c r="A20" s="56">
        <v>6783813</v>
      </c>
      <c r="B20" s="55" t="s">
        <v>6544</v>
      </c>
    </row>
    <row r="21" spans="1:2" x14ac:dyDescent="0.25">
      <c r="A21" s="56">
        <v>6794727</v>
      </c>
      <c r="B21" s="55" t="s">
        <v>6545</v>
      </c>
    </row>
    <row r="22" spans="1:2" x14ac:dyDescent="0.25">
      <c r="A22" s="56">
        <v>6772242</v>
      </c>
      <c r="B22" s="55" t="s">
        <v>6546</v>
      </c>
    </row>
    <row r="23" spans="1:2" x14ac:dyDescent="0.25">
      <c r="A23" s="56">
        <v>6772243</v>
      </c>
      <c r="B23" s="55" t="s">
        <v>6547</v>
      </c>
    </row>
    <row r="24" spans="1:2" x14ac:dyDescent="0.25">
      <c r="A24" s="56">
        <v>6772145</v>
      </c>
      <c r="B24" s="55" t="s">
        <v>6530</v>
      </c>
    </row>
    <row r="25" spans="1:2" x14ac:dyDescent="0.25">
      <c r="A25" s="56">
        <v>6783981</v>
      </c>
      <c r="B25" s="55" t="s">
        <v>6548</v>
      </c>
    </row>
    <row r="26" spans="1:2" x14ac:dyDescent="0.25">
      <c r="A26" s="56">
        <v>6772142</v>
      </c>
      <c r="B26" s="55" t="s">
        <v>6549</v>
      </c>
    </row>
    <row r="27" spans="1:2" x14ac:dyDescent="0.25">
      <c r="A27" s="56">
        <v>6772061</v>
      </c>
      <c r="B27" s="55" t="s">
        <v>6537</v>
      </c>
    </row>
    <row r="28" spans="1:2" x14ac:dyDescent="0.25">
      <c r="A28" s="56">
        <v>6772060</v>
      </c>
      <c r="B28" s="55" t="s">
        <v>6550</v>
      </c>
    </row>
    <row r="29" spans="1:2" x14ac:dyDescent="0.25">
      <c r="A29" s="56">
        <v>6776690</v>
      </c>
      <c r="B29" s="55" t="s">
        <v>6551</v>
      </c>
    </row>
    <row r="30" spans="1:2" x14ac:dyDescent="0.25">
      <c r="A30" s="56">
        <v>6776691</v>
      </c>
      <c r="B30" s="55" t="s">
        <v>6552</v>
      </c>
    </row>
    <row r="31" spans="1:2" x14ac:dyDescent="0.25">
      <c r="A31" s="56">
        <v>6794724</v>
      </c>
      <c r="B31" s="55" t="s">
        <v>6536</v>
      </c>
    </row>
    <row r="32" spans="1:2" x14ac:dyDescent="0.25">
      <c r="A32" s="56">
        <v>6794727</v>
      </c>
      <c r="B32" s="55" t="s">
        <v>6545</v>
      </c>
    </row>
    <row r="33" spans="1:2" x14ac:dyDescent="0.25">
      <c r="A33" s="56">
        <v>6772059</v>
      </c>
      <c r="B33" s="55" t="s">
        <v>6553</v>
      </c>
    </row>
    <row r="34" spans="1:2" x14ac:dyDescent="0.25">
      <c r="A34" s="56">
        <v>6772121</v>
      </c>
      <c r="B34" s="55" t="s">
        <v>6554</v>
      </c>
    </row>
    <row r="35" spans="1:2" x14ac:dyDescent="0.25">
      <c r="A35" s="56">
        <v>6772066</v>
      </c>
      <c r="B35" s="55" t="s">
        <v>6555</v>
      </c>
    </row>
    <row r="36" spans="1:2" x14ac:dyDescent="0.25">
      <c r="A36" s="56">
        <v>6772221</v>
      </c>
      <c r="B36" s="55" t="s">
        <v>6556</v>
      </c>
    </row>
    <row r="37" spans="1:2" x14ac:dyDescent="0.25">
      <c r="A37" s="56">
        <v>6773384</v>
      </c>
      <c r="B37" s="55" t="s">
        <v>6557</v>
      </c>
    </row>
    <row r="38" spans="1:2" x14ac:dyDescent="0.25">
      <c r="A38" s="56">
        <v>6772099</v>
      </c>
      <c r="B38" s="55" t="s">
        <v>6558</v>
      </c>
    </row>
    <row r="39" spans="1:2" x14ac:dyDescent="0.25">
      <c r="A39" s="56">
        <v>6772097</v>
      </c>
      <c r="B39" s="55" t="s">
        <v>6559</v>
      </c>
    </row>
    <row r="40" spans="1:2" x14ac:dyDescent="0.25">
      <c r="A40" s="56">
        <v>6772093</v>
      </c>
      <c r="B40" s="55" t="s">
        <v>6560</v>
      </c>
    </row>
    <row r="41" spans="1:2" x14ac:dyDescent="0.25">
      <c r="A41" s="56">
        <v>6772092</v>
      </c>
      <c r="B41" s="55" t="s">
        <v>6561</v>
      </c>
    </row>
    <row r="42" spans="1:2" x14ac:dyDescent="0.25">
      <c r="A42" s="56">
        <v>6772101</v>
      </c>
      <c r="B42" s="55" t="s">
        <v>6562</v>
      </c>
    </row>
    <row r="43" spans="1:2" x14ac:dyDescent="0.25">
      <c r="A43" s="56">
        <v>6772094</v>
      </c>
      <c r="B43" s="55" t="s">
        <v>6563</v>
      </c>
    </row>
    <row r="44" spans="1:2" x14ac:dyDescent="0.25">
      <c r="A44" s="56">
        <v>6772127</v>
      </c>
      <c r="B44" s="55" t="s">
        <v>6564</v>
      </c>
    </row>
    <row r="45" spans="1:2" x14ac:dyDescent="0.25">
      <c r="A45" s="56">
        <v>6772125</v>
      </c>
      <c r="B45" s="55" t="s">
        <v>6565</v>
      </c>
    </row>
    <row r="46" spans="1:2" x14ac:dyDescent="0.25">
      <c r="A46" s="56">
        <v>6773203</v>
      </c>
      <c r="B46" s="55" t="s">
        <v>6566</v>
      </c>
    </row>
    <row r="47" spans="1:2" x14ac:dyDescent="0.25">
      <c r="A47" s="56">
        <v>4555435</v>
      </c>
      <c r="B47" s="55" t="s">
        <v>2964</v>
      </c>
    </row>
    <row r="48" spans="1:2" x14ac:dyDescent="0.25">
      <c r="A48" s="56">
        <v>6788897</v>
      </c>
      <c r="B48" s="55" t="s">
        <v>6567</v>
      </c>
    </row>
    <row r="49" spans="1:2" x14ac:dyDescent="0.25">
      <c r="A49" s="56">
        <v>6772128</v>
      </c>
      <c r="B49" s="55" t="s">
        <v>6568</v>
      </c>
    </row>
    <row r="50" spans="1:2" x14ac:dyDescent="0.25">
      <c r="A50" s="56">
        <v>6772052</v>
      </c>
      <c r="B50" s="55" t="s">
        <v>6569</v>
      </c>
    </row>
    <row r="51" spans="1:2" x14ac:dyDescent="0.25">
      <c r="A51" s="56">
        <v>6772053</v>
      </c>
      <c r="B51" s="55" t="s">
        <v>6570</v>
      </c>
    </row>
    <row r="52" spans="1:2" x14ac:dyDescent="0.25">
      <c r="A52" s="56">
        <v>6772023</v>
      </c>
      <c r="B52" s="55" t="s">
        <v>6571</v>
      </c>
    </row>
    <row r="53" spans="1:2" x14ac:dyDescent="0.25">
      <c r="A53" s="56">
        <v>6772024</v>
      </c>
      <c r="B53" s="55" t="s">
        <v>6572</v>
      </c>
    </row>
    <row r="54" spans="1:2" x14ac:dyDescent="0.25">
      <c r="A54" s="56">
        <v>6772025</v>
      </c>
      <c r="B54" s="55" t="s">
        <v>6573</v>
      </c>
    </row>
    <row r="55" spans="1:2" x14ac:dyDescent="0.25">
      <c r="A55" s="56">
        <v>6772016</v>
      </c>
      <c r="B55" s="55" t="s">
        <v>6574</v>
      </c>
    </row>
    <row r="56" spans="1:2" x14ac:dyDescent="0.25">
      <c r="A56" s="56">
        <v>6772017</v>
      </c>
      <c r="B56" s="55" t="s">
        <v>6575</v>
      </c>
    </row>
    <row r="57" spans="1:2" x14ac:dyDescent="0.25">
      <c r="A57" s="56">
        <v>6772019</v>
      </c>
      <c r="B57" s="55" t="s">
        <v>6576</v>
      </c>
    </row>
    <row r="58" spans="1:2" x14ac:dyDescent="0.25">
      <c r="A58" s="56">
        <v>6772020</v>
      </c>
      <c r="B58" s="55" t="s">
        <v>6577</v>
      </c>
    </row>
    <row r="59" spans="1:2" x14ac:dyDescent="0.25">
      <c r="A59" s="56">
        <v>6772021</v>
      </c>
      <c r="B59" s="55" t="s">
        <v>6578</v>
      </c>
    </row>
    <row r="60" spans="1:2" x14ac:dyDescent="0.25">
      <c r="A60" s="56">
        <v>6772022</v>
      </c>
      <c r="B60" s="55" t="s">
        <v>6579</v>
      </c>
    </row>
    <row r="61" spans="1:2" x14ac:dyDescent="0.25">
      <c r="A61" s="56">
        <v>6772042</v>
      </c>
      <c r="B61" s="55" t="s">
        <v>6580</v>
      </c>
    </row>
    <row r="62" spans="1:2" x14ac:dyDescent="0.25">
      <c r="A62" s="56">
        <v>6772018</v>
      </c>
      <c r="B62" s="55" t="s">
        <v>6581</v>
      </c>
    </row>
    <row r="63" spans="1:2" x14ac:dyDescent="0.25">
      <c r="A63" s="56">
        <v>4650028</v>
      </c>
      <c r="B63" s="55" t="s">
        <v>6517</v>
      </c>
    </row>
    <row r="64" spans="1:2" x14ac:dyDescent="0.25">
      <c r="A64" s="56">
        <v>4650027</v>
      </c>
      <c r="B64" s="55" t="s">
        <v>6518</v>
      </c>
    </row>
    <row r="65" spans="1:2" x14ac:dyDescent="0.25">
      <c r="A65" s="56">
        <v>6772041</v>
      </c>
      <c r="B65" s="55" t="s">
        <v>6582</v>
      </c>
    </row>
    <row r="66" spans="1:2" x14ac:dyDescent="0.25">
      <c r="A66" s="56">
        <v>6790666</v>
      </c>
      <c r="B66" s="55" t="s">
        <v>6583</v>
      </c>
    </row>
    <row r="67" spans="1:2" x14ac:dyDescent="0.25">
      <c r="A67" s="56">
        <v>6790667</v>
      </c>
      <c r="B67" s="55" t="s">
        <v>6584</v>
      </c>
    </row>
    <row r="68" spans="1:2" x14ac:dyDescent="0.25">
      <c r="A68" s="56">
        <v>6772043</v>
      </c>
      <c r="B68" s="55" t="s">
        <v>6585</v>
      </c>
    </row>
    <row r="69" spans="1:2" x14ac:dyDescent="0.25">
      <c r="A69" s="56">
        <v>6790669</v>
      </c>
      <c r="B69" s="55" t="s">
        <v>6586</v>
      </c>
    </row>
    <row r="70" spans="1:2" x14ac:dyDescent="0.25">
      <c r="A70" s="56">
        <v>6772048</v>
      </c>
      <c r="B70" s="55" t="s">
        <v>6587</v>
      </c>
    </row>
    <row r="71" spans="1:2" x14ac:dyDescent="0.25">
      <c r="A71" s="56">
        <v>6810434</v>
      </c>
      <c r="B71" s="55" t="s">
        <v>6519</v>
      </c>
    </row>
    <row r="72" spans="1:2" x14ac:dyDescent="0.25">
      <c r="A72" s="56">
        <v>6772035</v>
      </c>
      <c r="B72" s="55" t="s">
        <v>6588</v>
      </c>
    </row>
    <row r="73" spans="1:2" x14ac:dyDescent="0.25">
      <c r="A73" s="56">
        <v>6772036</v>
      </c>
      <c r="B73" s="55" t="s">
        <v>6589</v>
      </c>
    </row>
    <row r="74" spans="1:2" x14ac:dyDescent="0.25">
      <c r="A74" s="56">
        <v>6772037</v>
      </c>
      <c r="B74" s="55" t="s">
        <v>6590</v>
      </c>
    </row>
    <row r="75" spans="1:2" x14ac:dyDescent="0.25">
      <c r="A75" s="56">
        <v>6772038</v>
      </c>
      <c r="B75" s="55" t="s">
        <v>6591</v>
      </c>
    </row>
    <row r="76" spans="1:2" x14ac:dyDescent="0.25">
      <c r="A76" s="56">
        <v>6772307</v>
      </c>
      <c r="B76" s="55" t="s">
        <v>6592</v>
      </c>
    </row>
    <row r="77" spans="1:2" x14ac:dyDescent="0.25">
      <c r="A77" s="56">
        <v>6783972</v>
      </c>
      <c r="B77" s="55" t="s">
        <v>6593</v>
      </c>
    </row>
    <row r="78" spans="1:2" x14ac:dyDescent="0.25">
      <c r="A78" s="56">
        <v>6772723</v>
      </c>
      <c r="B78" s="55" t="s">
        <v>6594</v>
      </c>
    </row>
    <row r="79" spans="1:2" x14ac:dyDescent="0.25">
      <c r="A79" s="56">
        <v>6772721</v>
      </c>
      <c r="B79" s="55" t="s">
        <v>6595</v>
      </c>
    </row>
    <row r="80" spans="1:2" x14ac:dyDescent="0.25">
      <c r="A80" s="56">
        <v>6772722</v>
      </c>
      <c r="B80" s="55" t="s">
        <v>6596</v>
      </c>
    </row>
    <row r="81" spans="1:2" x14ac:dyDescent="0.25">
      <c r="A81" s="56">
        <v>6772724</v>
      </c>
      <c r="B81" s="55" t="s">
        <v>6597</v>
      </c>
    </row>
    <row r="82" spans="1:2" x14ac:dyDescent="0.25">
      <c r="A82" s="56">
        <v>6772725</v>
      </c>
      <c r="B82" s="55" t="s">
        <v>6598</v>
      </c>
    </row>
    <row r="83" spans="1:2" x14ac:dyDescent="0.25">
      <c r="A83" s="56">
        <v>6772726</v>
      </c>
      <c r="B83" s="55" t="s">
        <v>6599</v>
      </c>
    </row>
    <row r="84" spans="1:2" x14ac:dyDescent="0.25">
      <c r="A84" s="56">
        <v>6772727</v>
      </c>
      <c r="B84" s="55" t="s">
        <v>6600</v>
      </c>
    </row>
    <row r="85" spans="1:2" x14ac:dyDescent="0.25">
      <c r="A85" s="56">
        <v>6772728</v>
      </c>
      <c r="B85" s="55" t="s">
        <v>6601</v>
      </c>
    </row>
    <row r="86" spans="1:2" x14ac:dyDescent="0.25">
      <c r="A86" s="56">
        <v>6772729</v>
      </c>
      <c r="B86" s="55" t="s">
        <v>6602</v>
      </c>
    </row>
    <row r="87" spans="1:2" x14ac:dyDescent="0.25">
      <c r="A87" s="56">
        <v>6772730</v>
      </c>
      <c r="B87" s="55" t="s">
        <v>6603</v>
      </c>
    </row>
    <row r="88" spans="1:2" x14ac:dyDescent="0.25">
      <c r="A88" s="56">
        <v>4546787</v>
      </c>
      <c r="B88" s="55" t="s">
        <v>6604</v>
      </c>
    </row>
    <row r="89" spans="1:2" x14ac:dyDescent="0.25">
      <c r="A89" s="56">
        <v>6775801</v>
      </c>
      <c r="B89" s="55" t="s">
        <v>6605</v>
      </c>
    </row>
    <row r="90" spans="1:2" x14ac:dyDescent="0.25">
      <c r="A90" s="56">
        <v>6772114</v>
      </c>
      <c r="B90" s="55" t="s">
        <v>4864</v>
      </c>
    </row>
    <row r="91" spans="1:2" x14ac:dyDescent="0.25">
      <c r="A91" s="56">
        <v>6772115</v>
      </c>
      <c r="B91" s="55" t="s">
        <v>6606</v>
      </c>
    </row>
    <row r="92" spans="1:2" x14ac:dyDescent="0.25">
      <c r="A92" s="56">
        <v>4545567</v>
      </c>
      <c r="B92" s="55" t="s">
        <v>6607</v>
      </c>
    </row>
    <row r="93" spans="1:2" x14ac:dyDescent="0.25">
      <c r="A93" s="56">
        <v>6795954</v>
      </c>
      <c r="B93" s="55" t="s">
        <v>6608</v>
      </c>
    </row>
    <row r="94" spans="1:2" x14ac:dyDescent="0.25">
      <c r="A94" s="56">
        <v>4653184</v>
      </c>
      <c r="B94" s="55" t="s">
        <v>6609</v>
      </c>
    </row>
    <row r="95" spans="1:2" x14ac:dyDescent="0.25">
      <c r="A95" s="56">
        <v>6773201</v>
      </c>
      <c r="B95" s="55" t="s">
        <v>6610</v>
      </c>
    </row>
    <row r="96" spans="1:2" x14ac:dyDescent="0.25">
      <c r="A96" s="56">
        <v>6773202</v>
      </c>
      <c r="B96" s="55" t="s">
        <v>6611</v>
      </c>
    </row>
    <row r="97" spans="1:2" x14ac:dyDescent="0.25">
      <c r="A97" s="56">
        <v>6772064</v>
      </c>
      <c r="B97" s="55" t="s">
        <v>6612</v>
      </c>
    </row>
    <row r="98" spans="1:2" x14ac:dyDescent="0.25">
      <c r="A98" s="56">
        <v>6802210</v>
      </c>
      <c r="B98" s="55" t="s">
        <v>6613</v>
      </c>
    </row>
    <row r="99" spans="1:2" x14ac:dyDescent="0.25">
      <c r="A99" s="56">
        <v>6772065</v>
      </c>
      <c r="B99" s="55" t="s">
        <v>6614</v>
      </c>
    </row>
    <row r="100" spans="1:2" x14ac:dyDescent="0.25">
      <c r="A100" s="56">
        <v>6772195</v>
      </c>
      <c r="B100" s="55" t="s">
        <v>6615</v>
      </c>
    </row>
    <row r="101" spans="1:2" x14ac:dyDescent="0.25">
      <c r="A101" s="56">
        <v>6780386</v>
      </c>
      <c r="B101" s="55" t="s">
        <v>6616</v>
      </c>
    </row>
    <row r="102" spans="1:2" x14ac:dyDescent="0.25">
      <c r="A102" s="56">
        <v>6780387</v>
      </c>
      <c r="B102" s="55" t="s">
        <v>6617</v>
      </c>
    </row>
    <row r="103" spans="1:2" x14ac:dyDescent="0.25">
      <c r="A103" s="56">
        <v>6772143</v>
      </c>
      <c r="B103" s="55" t="s">
        <v>6618</v>
      </c>
    </row>
    <row r="104" spans="1:2" x14ac:dyDescent="0.25">
      <c r="A104" s="56">
        <v>6772117</v>
      </c>
      <c r="B104" s="55" t="s">
        <v>6619</v>
      </c>
    </row>
    <row r="105" spans="1:2" x14ac:dyDescent="0.25">
      <c r="A105" s="56">
        <v>6772130</v>
      </c>
      <c r="B105" s="55" t="s">
        <v>6620</v>
      </c>
    </row>
    <row r="106" spans="1:2" x14ac:dyDescent="0.25">
      <c r="A106" s="56">
        <v>6776882</v>
      </c>
      <c r="B106" s="55" t="s">
        <v>6621</v>
      </c>
    </row>
    <row r="107" spans="1:2" x14ac:dyDescent="0.25">
      <c r="A107" s="56">
        <v>6777118</v>
      </c>
      <c r="B107" s="55" t="s">
        <v>6622</v>
      </c>
    </row>
    <row r="108" spans="1:2" x14ac:dyDescent="0.25">
      <c r="A108" s="56">
        <v>6772152</v>
      </c>
      <c r="B108" s="55" t="s">
        <v>6623</v>
      </c>
    </row>
    <row r="109" spans="1:2" x14ac:dyDescent="0.25">
      <c r="A109" s="56">
        <v>6772118</v>
      </c>
      <c r="B109" s="55" t="s">
        <v>6624</v>
      </c>
    </row>
    <row r="110" spans="1:2" x14ac:dyDescent="0.25">
      <c r="A110" s="56">
        <v>6772144</v>
      </c>
      <c r="B110" s="55" t="s">
        <v>4894</v>
      </c>
    </row>
    <row r="111" spans="1:2" x14ac:dyDescent="0.25">
      <c r="A111" s="56">
        <v>6772149</v>
      </c>
      <c r="B111" s="55" t="s">
        <v>6625</v>
      </c>
    </row>
    <row r="112" spans="1:2" x14ac:dyDescent="0.25">
      <c r="A112" s="56">
        <v>6773391</v>
      </c>
      <c r="B112" s="55" t="s">
        <v>6626</v>
      </c>
    </row>
    <row r="113" spans="1:2" x14ac:dyDescent="0.25">
      <c r="A113" s="56">
        <v>6773392</v>
      </c>
      <c r="B113" s="55" t="s">
        <v>6627</v>
      </c>
    </row>
    <row r="114" spans="1:2" x14ac:dyDescent="0.25">
      <c r="A114" s="56">
        <v>6773393</v>
      </c>
      <c r="B114" s="55" t="s">
        <v>6628</v>
      </c>
    </row>
    <row r="115" spans="1:2" x14ac:dyDescent="0.25">
      <c r="A115" s="56">
        <v>6773394</v>
      </c>
      <c r="B115" s="55" t="s">
        <v>6629</v>
      </c>
    </row>
    <row r="116" spans="1:2" x14ac:dyDescent="0.25">
      <c r="A116" s="56">
        <v>6773396</v>
      </c>
      <c r="B116" s="55" t="s">
        <v>6630</v>
      </c>
    </row>
    <row r="117" spans="1:2" x14ac:dyDescent="0.25">
      <c r="A117" s="56">
        <v>6773387</v>
      </c>
      <c r="B117" s="55" t="s">
        <v>6631</v>
      </c>
    </row>
    <row r="118" spans="1:2" x14ac:dyDescent="0.25">
      <c r="A118" s="56">
        <v>6773388</v>
      </c>
      <c r="B118" s="55" t="s">
        <v>6632</v>
      </c>
    </row>
    <row r="119" spans="1:2" x14ac:dyDescent="0.25">
      <c r="A119" s="56">
        <v>6773389</v>
      </c>
      <c r="B119" s="55" t="s">
        <v>6633</v>
      </c>
    </row>
    <row r="120" spans="1:2" x14ac:dyDescent="0.25">
      <c r="A120" s="56">
        <v>6773390</v>
      </c>
      <c r="B120" s="55" t="s">
        <v>6634</v>
      </c>
    </row>
    <row r="121" spans="1:2" x14ac:dyDescent="0.25">
      <c r="A121" s="56">
        <v>6773386</v>
      </c>
      <c r="B121" s="55" t="s">
        <v>6635</v>
      </c>
    </row>
    <row r="122" spans="1:2" x14ac:dyDescent="0.25">
      <c r="A122" s="56">
        <v>6772181</v>
      </c>
      <c r="B122" s="55" t="s">
        <v>6636</v>
      </c>
    </row>
    <row r="123" spans="1:2" x14ac:dyDescent="0.25">
      <c r="A123" s="56">
        <v>6772165</v>
      </c>
      <c r="B123" s="55" t="s">
        <v>6637</v>
      </c>
    </row>
    <row r="124" spans="1:2" x14ac:dyDescent="0.25">
      <c r="A124" s="56">
        <v>6772166</v>
      </c>
      <c r="B124" s="55" t="s">
        <v>6638</v>
      </c>
    </row>
    <row r="125" spans="1:2" x14ac:dyDescent="0.25">
      <c r="A125" s="56">
        <v>6772150</v>
      </c>
      <c r="B125" s="55" t="s">
        <v>6639</v>
      </c>
    </row>
    <row r="126" spans="1:2" x14ac:dyDescent="0.25">
      <c r="A126" s="56">
        <v>6772155</v>
      </c>
      <c r="B126" s="55" t="s">
        <v>6640</v>
      </c>
    </row>
    <row r="127" spans="1:2" x14ac:dyDescent="0.25">
      <c r="A127" s="56">
        <v>6772162</v>
      </c>
      <c r="B127" s="55" t="s">
        <v>6641</v>
      </c>
    </row>
    <row r="128" spans="1:2" x14ac:dyDescent="0.25">
      <c r="A128" s="56">
        <v>6772156</v>
      </c>
      <c r="B128" s="55" t="s">
        <v>6642</v>
      </c>
    </row>
    <row r="129" spans="1:2" x14ac:dyDescent="0.25">
      <c r="A129" s="56">
        <v>4545653</v>
      </c>
      <c r="B129" s="55" t="s">
        <v>6643</v>
      </c>
    </row>
    <row r="130" spans="1:2" x14ac:dyDescent="0.25">
      <c r="A130" s="56">
        <v>4545652</v>
      </c>
      <c r="B130" s="55" t="s">
        <v>6643</v>
      </c>
    </row>
    <row r="131" spans="1:2" x14ac:dyDescent="0.25">
      <c r="A131" s="56">
        <v>4545651</v>
      </c>
      <c r="B131" s="55" t="s">
        <v>6643</v>
      </c>
    </row>
    <row r="132" spans="1:2" x14ac:dyDescent="0.25">
      <c r="A132" s="56">
        <v>6772151</v>
      </c>
      <c r="B132" s="55" t="s">
        <v>6644</v>
      </c>
    </row>
    <row r="133" spans="1:2" x14ac:dyDescent="0.25">
      <c r="A133" s="56">
        <v>6772179</v>
      </c>
      <c r="B133" s="55" t="s">
        <v>6645</v>
      </c>
    </row>
    <row r="134" spans="1:2" x14ac:dyDescent="0.25">
      <c r="A134" s="56">
        <v>6772160</v>
      </c>
      <c r="B134" s="55" t="s">
        <v>6646</v>
      </c>
    </row>
    <row r="135" spans="1:2" x14ac:dyDescent="0.25">
      <c r="A135" s="56">
        <v>6772161</v>
      </c>
      <c r="B135" s="55" t="s">
        <v>6647</v>
      </c>
    </row>
    <row r="136" spans="1:2" x14ac:dyDescent="0.25">
      <c r="A136" s="56">
        <v>6772163</v>
      </c>
      <c r="B136" s="55" t="s">
        <v>6648</v>
      </c>
    </row>
    <row r="137" spans="1:2" x14ac:dyDescent="0.25">
      <c r="A137" s="56">
        <v>6772164</v>
      </c>
      <c r="B137" s="55" t="s">
        <v>6649</v>
      </c>
    </row>
    <row r="138" spans="1:2" x14ac:dyDescent="0.25">
      <c r="A138" s="56">
        <v>6772169</v>
      </c>
      <c r="B138" s="55" t="s">
        <v>6650</v>
      </c>
    </row>
    <row r="139" spans="1:2" x14ac:dyDescent="0.25">
      <c r="A139" s="56">
        <v>6772153</v>
      </c>
      <c r="B139" s="55" t="s">
        <v>6651</v>
      </c>
    </row>
    <row r="140" spans="1:2" x14ac:dyDescent="0.25">
      <c r="A140" s="56">
        <v>6772154</v>
      </c>
      <c r="B140" s="55" t="s">
        <v>6652</v>
      </c>
    </row>
    <row r="141" spans="1:2" x14ac:dyDescent="0.25">
      <c r="A141" s="56">
        <v>6772157</v>
      </c>
      <c r="B141" s="55" t="s">
        <v>6653</v>
      </c>
    </row>
    <row r="142" spans="1:2" x14ac:dyDescent="0.25">
      <c r="A142" s="56">
        <v>6772174</v>
      </c>
      <c r="B142" s="55" t="s">
        <v>6654</v>
      </c>
    </row>
    <row r="143" spans="1:2" x14ac:dyDescent="0.25">
      <c r="A143" s="56">
        <v>6772185</v>
      </c>
      <c r="B143" s="55" t="s">
        <v>6655</v>
      </c>
    </row>
    <row r="144" spans="1:2" x14ac:dyDescent="0.25">
      <c r="A144" s="56">
        <v>6772148</v>
      </c>
      <c r="B144" s="55" t="s">
        <v>6656</v>
      </c>
    </row>
    <row r="145" spans="1:2" x14ac:dyDescent="0.25">
      <c r="A145" s="56">
        <v>6772147</v>
      </c>
      <c r="B145" s="55" t="s">
        <v>6656</v>
      </c>
    </row>
    <row r="146" spans="1:2" x14ac:dyDescent="0.25">
      <c r="A146" s="56">
        <v>6772146</v>
      </c>
      <c r="B146" s="55" t="s">
        <v>6656</v>
      </c>
    </row>
    <row r="147" spans="1:2" x14ac:dyDescent="0.25">
      <c r="A147" s="56">
        <v>4545633</v>
      </c>
      <c r="B147" s="55" t="s">
        <v>6657</v>
      </c>
    </row>
    <row r="148" spans="1:2" x14ac:dyDescent="0.25">
      <c r="A148" s="56">
        <v>4549693</v>
      </c>
      <c r="B148" s="55" t="s">
        <v>6658</v>
      </c>
    </row>
    <row r="149" spans="1:2" x14ac:dyDescent="0.25">
      <c r="A149" s="56">
        <v>4591479</v>
      </c>
      <c r="B149" s="55" t="s">
        <v>6659</v>
      </c>
    </row>
    <row r="150" spans="1:2" x14ac:dyDescent="0.25">
      <c r="A150" s="56">
        <v>4591481</v>
      </c>
      <c r="B150" s="55" t="s">
        <v>3427</v>
      </c>
    </row>
    <row r="151" spans="1:2" x14ac:dyDescent="0.25">
      <c r="A151" s="56">
        <v>4591642</v>
      </c>
      <c r="B151" s="55" t="s">
        <v>6660</v>
      </c>
    </row>
    <row r="152" spans="1:2" x14ac:dyDescent="0.25">
      <c r="A152" s="56">
        <v>4555433</v>
      </c>
      <c r="B152" s="55" t="s">
        <v>6661</v>
      </c>
    </row>
    <row r="153" spans="1:2" x14ac:dyDescent="0.25">
      <c r="A153" s="56">
        <v>4591617</v>
      </c>
      <c r="B153" s="55" t="s">
        <v>3434</v>
      </c>
    </row>
    <row r="154" spans="1:2" x14ac:dyDescent="0.25">
      <c r="A154" s="56">
        <v>4591615</v>
      </c>
      <c r="B154" s="55" t="s">
        <v>3432</v>
      </c>
    </row>
    <row r="155" spans="1:2" x14ac:dyDescent="0.25">
      <c r="A155" s="56">
        <v>4545649</v>
      </c>
      <c r="B155" s="55" t="s">
        <v>6662</v>
      </c>
    </row>
    <row r="156" spans="1:2" x14ac:dyDescent="0.25">
      <c r="A156" s="56">
        <v>4545650</v>
      </c>
      <c r="B156" s="55" t="s">
        <v>6663</v>
      </c>
    </row>
    <row r="157" spans="1:2" x14ac:dyDescent="0.25">
      <c r="A157" s="56">
        <v>4545654</v>
      </c>
      <c r="B157" s="55" t="s">
        <v>6664</v>
      </c>
    </row>
    <row r="158" spans="1:2" x14ac:dyDescent="0.25">
      <c r="A158" s="56">
        <v>6772184</v>
      </c>
      <c r="B158" s="55" t="s">
        <v>6665</v>
      </c>
    </row>
    <row r="159" spans="1:2" x14ac:dyDescent="0.25">
      <c r="A159" s="56">
        <v>4545630</v>
      </c>
      <c r="B159" s="55" t="s">
        <v>6666</v>
      </c>
    </row>
    <row r="160" spans="1:2" x14ac:dyDescent="0.25">
      <c r="A160" s="56">
        <v>4545631</v>
      </c>
      <c r="B160" s="55" t="s">
        <v>6666</v>
      </c>
    </row>
    <row r="161" spans="1:2" x14ac:dyDescent="0.25">
      <c r="A161" s="56">
        <v>4545964</v>
      </c>
      <c r="B161" s="55" t="s">
        <v>6667</v>
      </c>
    </row>
    <row r="162" spans="1:2" x14ac:dyDescent="0.25">
      <c r="A162" s="56">
        <v>4545937</v>
      </c>
      <c r="B162" s="55" t="s">
        <v>6667</v>
      </c>
    </row>
    <row r="163" spans="1:2" x14ac:dyDescent="0.25">
      <c r="A163" s="56">
        <v>4591618</v>
      </c>
      <c r="B163" s="55" t="s">
        <v>6668</v>
      </c>
    </row>
    <row r="164" spans="1:2" x14ac:dyDescent="0.25">
      <c r="A164" s="56">
        <v>6780384</v>
      </c>
      <c r="B164" s="55" t="s">
        <v>6669</v>
      </c>
    </row>
    <row r="165" spans="1:2" x14ac:dyDescent="0.25">
      <c r="A165" s="56">
        <v>4608627</v>
      </c>
      <c r="B165" s="55" t="s">
        <v>6669</v>
      </c>
    </row>
    <row r="166" spans="1:2" x14ac:dyDescent="0.25">
      <c r="A166" s="56">
        <v>6771970</v>
      </c>
      <c r="B166" s="55" t="s">
        <v>6670</v>
      </c>
    </row>
    <row r="167" spans="1:2" x14ac:dyDescent="0.25">
      <c r="A167" s="56">
        <v>6772141</v>
      </c>
      <c r="B167" s="55" t="s">
        <v>6671</v>
      </c>
    </row>
    <row r="168" spans="1:2" x14ac:dyDescent="0.25">
      <c r="A168" s="56">
        <v>6772175</v>
      </c>
      <c r="B168" s="55" t="s">
        <v>4925</v>
      </c>
    </row>
    <row r="169" spans="1:2" x14ac:dyDescent="0.25">
      <c r="A169" s="56">
        <v>6800638</v>
      </c>
      <c r="B169" s="55" t="s">
        <v>6522</v>
      </c>
    </row>
    <row r="170" spans="1:2" x14ac:dyDescent="0.25">
      <c r="A170" s="56">
        <v>6778573</v>
      </c>
      <c r="B170" s="55" t="s">
        <v>6672</v>
      </c>
    </row>
    <row r="171" spans="1:2" x14ac:dyDescent="0.25">
      <c r="A171" s="56">
        <v>6795830</v>
      </c>
      <c r="B171" s="55" t="s">
        <v>6673</v>
      </c>
    </row>
    <row r="172" spans="1:2" x14ac:dyDescent="0.25">
      <c r="A172" s="56">
        <v>6772172</v>
      </c>
      <c r="B172" s="55" t="s">
        <v>4922</v>
      </c>
    </row>
    <row r="173" spans="1:2" x14ac:dyDescent="0.25">
      <c r="A173" s="56">
        <v>6774165</v>
      </c>
      <c r="B173" s="55" t="s">
        <v>6674</v>
      </c>
    </row>
    <row r="174" spans="1:2" x14ac:dyDescent="0.25">
      <c r="A174" s="56">
        <v>6772999</v>
      </c>
      <c r="B174" s="55" t="s">
        <v>6675</v>
      </c>
    </row>
    <row r="175" spans="1:2" x14ac:dyDescent="0.25">
      <c r="A175" s="56">
        <v>6772395</v>
      </c>
      <c r="B175" s="55" t="s">
        <v>6676</v>
      </c>
    </row>
    <row r="176" spans="1:2" x14ac:dyDescent="0.25">
      <c r="A176" s="56">
        <v>6772204</v>
      </c>
      <c r="B176" s="55" t="s">
        <v>6677</v>
      </c>
    </row>
    <row r="177" spans="1:2" x14ac:dyDescent="0.25">
      <c r="A177" s="56">
        <v>6772211</v>
      </c>
      <c r="B177" s="55" t="s">
        <v>6678</v>
      </c>
    </row>
    <row r="178" spans="1:2" x14ac:dyDescent="0.25">
      <c r="A178" s="56">
        <v>6772178</v>
      </c>
      <c r="B178" s="55" t="s">
        <v>6679</v>
      </c>
    </row>
    <row r="179" spans="1:2" x14ac:dyDescent="0.25">
      <c r="A179" s="56">
        <v>6772026</v>
      </c>
      <c r="B179" s="55" t="s">
        <v>4777</v>
      </c>
    </row>
    <row r="180" spans="1:2" x14ac:dyDescent="0.25">
      <c r="A180" s="56">
        <v>6772050</v>
      </c>
      <c r="B180" s="55" t="s">
        <v>6680</v>
      </c>
    </row>
    <row r="181" spans="1:2" x14ac:dyDescent="0.25">
      <c r="A181" s="56">
        <v>6772028</v>
      </c>
      <c r="B181" s="55" t="s">
        <v>6681</v>
      </c>
    </row>
    <row r="182" spans="1:2" x14ac:dyDescent="0.25">
      <c r="A182" s="56">
        <v>6772027</v>
      </c>
      <c r="B182" s="55" t="s">
        <v>6682</v>
      </c>
    </row>
    <row r="183" spans="1:2" x14ac:dyDescent="0.25">
      <c r="A183" s="56">
        <v>6772029</v>
      </c>
      <c r="B183" s="55" t="s">
        <v>6683</v>
      </c>
    </row>
    <row r="184" spans="1:2" x14ac:dyDescent="0.25">
      <c r="A184" s="56">
        <v>6772212</v>
      </c>
      <c r="B184" s="55" t="s">
        <v>6684</v>
      </c>
    </row>
    <row r="185" spans="1:2" x14ac:dyDescent="0.25">
      <c r="A185" s="56">
        <v>6772213</v>
      </c>
      <c r="B185" s="55" t="s">
        <v>6685</v>
      </c>
    </row>
    <row r="186" spans="1:2" x14ac:dyDescent="0.25">
      <c r="A186" s="56">
        <v>6783748</v>
      </c>
      <c r="B186" s="55" t="s">
        <v>6686</v>
      </c>
    </row>
    <row r="187" spans="1:2" x14ac:dyDescent="0.25">
      <c r="A187" s="56">
        <v>6783747</v>
      </c>
      <c r="B187" s="55" t="s">
        <v>6686</v>
      </c>
    </row>
    <row r="188" spans="1:2" x14ac:dyDescent="0.25">
      <c r="A188" s="56">
        <v>6780579</v>
      </c>
      <c r="B188" s="55" t="s">
        <v>6687</v>
      </c>
    </row>
    <row r="189" spans="1:2" x14ac:dyDescent="0.25">
      <c r="A189" s="56">
        <v>6772031</v>
      </c>
      <c r="B189" s="55" t="s">
        <v>6688</v>
      </c>
    </row>
    <row r="190" spans="1:2" x14ac:dyDescent="0.25">
      <c r="A190" s="56">
        <v>6778098</v>
      </c>
      <c r="B190" s="55" t="s">
        <v>6689</v>
      </c>
    </row>
    <row r="191" spans="1:2" x14ac:dyDescent="0.25">
      <c r="A191" s="56">
        <v>6772030</v>
      </c>
      <c r="B191" s="55" t="s">
        <v>6690</v>
      </c>
    </row>
    <row r="192" spans="1:2" x14ac:dyDescent="0.25">
      <c r="A192" s="56">
        <v>6772032</v>
      </c>
      <c r="B192" s="55" t="s">
        <v>6691</v>
      </c>
    </row>
    <row r="193" spans="1:2" x14ac:dyDescent="0.25">
      <c r="A193" s="56">
        <v>6772033</v>
      </c>
      <c r="B193" s="55" t="s">
        <v>6692</v>
      </c>
    </row>
    <row r="194" spans="1:2" x14ac:dyDescent="0.25">
      <c r="A194" s="56">
        <v>6774180</v>
      </c>
      <c r="B194" s="55" t="s">
        <v>6693</v>
      </c>
    </row>
    <row r="195" spans="1:2" x14ac:dyDescent="0.25">
      <c r="A195" s="56">
        <v>6772285</v>
      </c>
      <c r="B195" s="55" t="s">
        <v>6694</v>
      </c>
    </row>
    <row r="196" spans="1:2" x14ac:dyDescent="0.25">
      <c r="A196" s="56">
        <v>6772371</v>
      </c>
      <c r="B196" s="55" t="s">
        <v>6695</v>
      </c>
    </row>
    <row r="197" spans="1:2" x14ac:dyDescent="0.25">
      <c r="A197" s="56">
        <v>6772404</v>
      </c>
      <c r="B197" s="55" t="s">
        <v>6696</v>
      </c>
    </row>
    <row r="198" spans="1:2" x14ac:dyDescent="0.25">
      <c r="A198" s="56">
        <v>6793691</v>
      </c>
      <c r="B198" s="55" t="s">
        <v>6697</v>
      </c>
    </row>
    <row r="199" spans="1:2" x14ac:dyDescent="0.25">
      <c r="A199" s="56">
        <v>6794722</v>
      </c>
      <c r="B199" s="55" t="s">
        <v>6698</v>
      </c>
    </row>
    <row r="200" spans="1:2" x14ac:dyDescent="0.25">
      <c r="A200" s="56">
        <v>6772351</v>
      </c>
      <c r="B200" s="55" t="s">
        <v>6699</v>
      </c>
    </row>
    <row r="201" spans="1:2" x14ac:dyDescent="0.25">
      <c r="A201" s="56">
        <v>6793691</v>
      </c>
      <c r="B201" s="55" t="s">
        <v>6697</v>
      </c>
    </row>
    <row r="202" spans="1:2" x14ac:dyDescent="0.25">
      <c r="A202" s="56">
        <v>4545991</v>
      </c>
      <c r="B202" s="55" t="s">
        <v>6700</v>
      </c>
    </row>
    <row r="203" spans="1:2" x14ac:dyDescent="0.25">
      <c r="A203" s="56">
        <v>6772286</v>
      </c>
      <c r="B203" s="55" t="s">
        <v>6701</v>
      </c>
    </row>
    <row r="204" spans="1:2" x14ac:dyDescent="0.25">
      <c r="A204" s="56">
        <v>6772285</v>
      </c>
      <c r="B204" s="55" t="s">
        <v>6694</v>
      </c>
    </row>
    <row r="205" spans="1:2" x14ac:dyDescent="0.25">
      <c r="A205" s="56">
        <v>6776268</v>
      </c>
      <c r="B205" s="55" t="s">
        <v>6702</v>
      </c>
    </row>
    <row r="206" spans="1:2" x14ac:dyDescent="0.25">
      <c r="A206" s="56">
        <v>6793835</v>
      </c>
      <c r="B206" s="55" t="s">
        <v>6703</v>
      </c>
    </row>
    <row r="207" spans="1:2" x14ac:dyDescent="0.25">
      <c r="A207" s="56">
        <v>4667452</v>
      </c>
      <c r="B207" s="55" t="s">
        <v>6513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6225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Ficha_Solicitação_Material</vt:lpstr>
      <vt:lpstr>Codigo_Material</vt:lpstr>
      <vt:lpstr>Materiais_COMPEL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2018-02-20T18:15:18Z</dcterms:modified>
</cp:coreProperties>
</file>